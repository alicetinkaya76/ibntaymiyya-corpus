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limatlar" sheetId="1" state="visible" r:id="rId3"/>
    <sheet name="Etiketleme" sheetId="2" state="visible" r:id="rId4"/>
    <sheet name="Claude_Baseline_GIZLI" sheetId="3" state="hidden" r:id="rId5"/>
    <sheet name="Öz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<sst xmlns="http://schemas.openxmlformats.org/spreadsheetml/2006/main" count="347" uniqueCount="219">
  <si>
    <t xml:space="preserve">İbn Teymiyye Tutum Haritalama · H2 Manuel Doğrulama Atölyesi</t>
  </si>
  <si>
    <t xml:space="preserve">Bu çalışma İbn Teymiyye'nin Iman bahsindeki paralel pasajların (Mecmû V07 İbn Kāsım edisyonu ↔ Standalone Iman Albani edisyonu) manuel doğrulamasıdır.</t>
  </si>
  <si>
    <t xml:space="preserve">📋 PROTOKOL</t>
  </si>
  <si>
    <t xml:space="preserve">1. Aşağıdaki 'Etiketleme' sekmesine geçin.</t>
  </si>
  <si>
    <t xml:space="preserve">2. Her satır bir pair (kaynak ↔ hedef pasaj). 26 pair var.</t>
  </si>
  <si>
    <t xml:space="preserve">3. Sırayla her pair için:</t>
  </si>
  <si>
    <t xml:space="preserve">    a. Sol kolonda 'Kaynak metin' (Mecmû V07 / İbn Kāsım edisyonu) okuyun.</t>
  </si>
  <si>
    <t xml:space="preserve">    b. Sağ kolonda 'Hedef metin' (Standalone Iman / Albani edisyonu) okuyun.</t>
  </si>
  <si>
    <t xml:space="preserve">    c. 'ETİKET' kolonuna tıklayın → açılır listeden 5 sınıftan birini seçin.</t>
  </si>
  <si>
    <t xml:space="preserve">    d. 'Notlar' kolonuna kararınızın gerekçesini yazın (özellikle OVERLAP / NOISE için).</t>
  </si>
  <si>
    <t xml:space="preserve">4. Excel her tuş vuruşunda otomatik kaydeder; özel bir 'kaydet' adımı gerekmiyor.</t>
  </si>
  <si>
    <t xml:space="preserve">5. 'Özet' sekmesinde ilerlemeniz canlı güncellenir (kaç tamamlandı, sınıf dağılımı).</t>
  </si>
  <si>
    <t xml:space="preserve">6. Tahmini süre: 90–120 dakika. Pair başı 3–5 dk.</t>
  </si>
  <si>
    <t xml:space="preserve">7. Bitince dosyayı (Sheets ise download xlsx, Excel ise .xlsx olduğu gibi) Ali'ye gönderin.</t>
  </si>
  <si>
    <t xml:space="preserve">🏷️ 5 ETİKET SINIFI</t>
  </si>
  <si>
    <t xml:space="preserve">EXACT — Birebir tekrar. Kelimelik farklar (tashkeel, noktalama, ayet referans bracket'ları) olabilir, ama metin akışı aynı.</t>
  </si>
  <si>
    <t xml:space="preserve">EDITED — Albani edisyonel müdahale yapmış. Fasıl başlığı çıkarılmış, öncül cümle atılmış, ya da paragraf sınırı yeniden çizilmiş; ama argüman yapısı aynı.</t>
  </si>
  <si>
    <t xml:space="preserve">EXCERPT — Hedef pasaj kaynağın bir kısmını içeriyor (özet veya alıntı). Yani Albani'nin pasajı Mecmû'nunkinden belirgin biçimde daha kısa.</t>
  </si>
  <si>
    <t xml:space="preserve">OVERLAP — Aynı geniş konuyu (iman, İslâm, küfür, münafık vs.) tartışıyor ama farklı argümanlar veya farklı pasajlar. Algoritma kelime ortaklığı yüzünden eşleştirmiş ama gerçek paralel değil.</t>
  </si>
  <si>
    <t xml:space="preserve">NOISE — Yanlış eşleşme. Konu bile uyuşmuyor. Algoritma yanılmış.</t>
  </si>
  <si>
    <t xml:space="preserve">💡 ÖRNEKLER</t>
  </si>
  <si>
    <t xml:space="preserve">EXACT örneği: İki pasaj harfi harfine aynı, sadece Albani parantez içinde [البقرة: 103] gibi ayet referansı eklemiş.</t>
  </si>
  <si>
    <t xml:space="preserve">EDITED örneği: Mecmû'da 'فصل: ومما يسأل عنه...' fasıl başlığıyla başlayan pasaj; Standalone'da bu başlık yok, 'والتحقيق...' kısmıyla başlıyor — sonrası birebir aynı.</t>
  </si>
  <si>
    <t xml:space="preserve">EXCERPT örneği: Mecmû'daki 800 kelimelik bir argüman, Standalone'da aynı argümanın özetlenmiş 200 kelimelik versiyonu olarak görünüyor.</t>
  </si>
  <si>
    <t xml:space="preserve">OVERLAP örneği: İkisi de Ahmad b. Hanbel'in iman hakkındaki rivayetlerini aktarıyor ama farklı rivayetler — ortak kelime kümesi yüksek (Ahmad, iman, İslâm) ama metinler farklı.</t>
  </si>
  <si>
    <t xml:space="preserve">NOISE örneği: Kaynak namaz bahsinden, hedef şefaat bahsinden; konuyla dahi alakası yok — sadece yüzeysel kelime ortaklığı.</t>
  </si>
  <si>
    <t xml:space="preserve">📐 İPUÇLARI</t>
  </si>
  <si>
    <t xml:space="preserve">• Şüpheliyseniz: kaynak ve hedef AYNI ARGÜMANI mı kuruyor sorusunu sorun.   Aynıysa EXACT/EDITED/EXCERPT'ten biri. Farklıysa OVERLAP veya NOISE.</t>
  </si>
  <si>
    <t xml:space="preserve">• EXACT vs EDITED ayrımı: cümle yapısı / kelime sırası değişmiş mi?   Hayırsa EXACT, evetse EDITED.</t>
  </si>
  <si>
    <t xml:space="preserve">• EDITED vs EXCERPT ayrımı: hedef pasajın UZUNLUĞU kaynağa göre belirgin   ölçüde daha kısa mı (en az %30 kayıp)? Evetse EXCERPT, hayırsa EDITED.</t>
  </si>
  <si>
    <t xml:space="preserve">• OVERLAP vs NOISE ayrımı: pasajlar AYNI GENİŞ KONUYU (iman, küfür vs.) mı   ele alıyor? Evetse OVERLAP, hayırsa NOISE.</t>
  </si>
  <si>
    <t xml:space="preserve">• Bant bilgisi (Çok yüksek / Yüksek / ...) algoritmanın ÖN TAHMİNİ.   Sizin etiketinize ipucu olabilir ama bağlayıcı DEĞİL — bant düşükken   EDITED, bant yüksekken OVERLAP çıkabilir. Metne güvenin.</t>
  </si>
  <si>
    <t xml:space="preserve">ℹ️ TEKNİK NOTLAR</t>
  </si>
  <si>
    <t xml:space="preserve">• Her pair için kaynak ve hedef metin yaklaşık 600–800 kelime. Tam   pasajlar verilmiştir; truncation yoktur.</t>
  </si>
  <si>
    <t xml:space="preserve">• 'Sayfalar' kolonu her pasajın hangi sayfa aralığında geçtiğini gösterir   (örn. V07P328–V07P417 → Mecmû Cilt 7'nin 328–417 sayfaları).</t>
  </si>
  <si>
    <t xml:space="preserve">• 'Skor' = TF-IDF kosinüs benzerlik (0–1). Yüksekse algoritma daha emin.</t>
  </si>
  <si>
    <t xml:space="preserve">  'Adjusted' = Kur'ân alıntıları çıkarıldıktan sonraki skor.</t>
  </si>
  <si>
    <t xml:space="preserve">  'QD-S' / 'QD-T' = kaynak / hedef'in Kur'ân yoğunluğu (0–1).</t>
  </si>
  <si>
    <t xml:space="preserve">• Kararsız kaldığınız pair'leri 'Notlar' kolonunda 'TARTIŞMA' yazarak   işaretleyin; atölye sonu birlikte tahkim edebiliriz.</t>
  </si>
  <si>
    <t xml:space="preserve">#</t>
  </si>
  <si>
    <t xml:space="preserve">Bant</t>
  </si>
  <si>
    <t xml:space="preserve">Source ID</t>
  </si>
  <si>
    <t xml:space="preserve">Target ID</t>
  </si>
  <si>
    <t xml:space="preserve">Skor</t>
  </si>
  <si>
    <t xml:space="preserve">Adjusted</t>
  </si>
  <si>
    <t xml:space="preserve">QD-S</t>
  </si>
  <si>
    <t xml:space="preserve">QD-T</t>
  </si>
  <si>
    <t xml:space="preserve">Sayfalar</t>
  </si>
  <si>
    <t xml:space="preserve">Kaynak metin (Mecmû V07 / İbn Kāsım)</t>
  </si>
  <si>
    <t xml:space="preserve">Hedef metin (Standalone Iman / Albani)</t>
  </si>
  <si>
    <t xml:space="preserve">ETİKET</t>
  </si>
  <si>
    <t xml:space="preserve">Notlar</t>
  </si>
  <si>
    <t xml:space="preserve">Çok yüksek (likely birebir)</t>
  </si>
  <si>
    <t xml:space="preserve">MF-V07-S09-P021</t>
  </si>
  <si>
    <t xml:space="preserve">IMN-S00-P132</t>
  </si>
  <si>
    <t xml:space="preserve">S: V07P328–V07P417
T: V01P007–V01P359</t>
  </si>
  <si>
    <t xml:space="preserve">قلت: لفظ المجمل والمطلق والعام كان في اصطلاح الأئمة كالشافعي وأحمد وأبي عبيد وإسحاق وغيرهم سواء لا يريدون بالمجمل ما لا يفهم منه كما فسره به بعض المتأخرين وأخطأ في ذلك بل المجمل ما لا يكفي وحده في العمل به وإن كان ظاهره حقا كما في قوله تعالى {خذ من أموالهم صدقة تطهرهم وتزكيهم بها} فهذه الآية ظاهرها ومعناها مفهوم ليست مما لا يفهم المراد به؛ بل نفس ما دلت عليه لا يكفي وحده في العمل فإن المأمور به صدقة تكون مطهرة مزكية لهم هذا إنما يعرف ببيان الرسول صلى الله عليه وسلم ولهذا قال أحمد يحذر المتكلم في الفقه هذين " الأصلين ": المجمل والقياس. وقال: أكثر ما يخطئ الناس من جهة التأويل والقياس يريد بذلك ألا يحكم بما يدل عليه العام والمطلق قبل النظر فيما يخصه ويقيده ولا يعمل بالقياس قبل النظر في دلالة النصوص هل تدفعه فإن أكثر خطأ الناس تمسكهم بما يظنونه من دلالة اللفظ والقياس؛ فالأمور الظنية لا يعمل بها حتى يبحث عن المعارض بحثا يطمئن القلب إليه وإلا أخطأ من لم يفعل ذلك وهذا هو الواقع في المتمسكين بالظواهر والأقيسة ولهذا جعل الاحتجاج بالظواهر مع الإعراض عن تفسير النبي صلى الله عليه وسلم وأصحابه طريق أهل البدع. وله في ذلك مصنف كبير. وكذلك التمسك بالأقيسة مع الإعراض عن النصوص والآثار طريق أهل البدع. ولهذا كان كل قول ابتدعه هؤلاء قولا فاسدا وإنما الصواب من أقوالهم ما وافقوا فيه السلف من الصحابة والتابعين لهم بإحسان وقوله تعالى {يوصيكم الله في أولادكم} سماه عاما وهو مطلق في الأحوال يعمها على طريق البدل كما يعم قوله: {فتحرير رقبة} جميع الرقاب لا يعمها كما يعم لفظ الولد للأولاد. ومن أخذ بهذا لم يأخذ بما دل عليه ظاهر لفظ القرآن بل أخذ بما ظهر له مما سكت عنه القرآن فكان الظهور لسكوت القرآن عنه لا لدلالة القرآن على أنه ظاهر فكانوا متمسكين بظاهر من القول لا بظاهر القول؛ وعمدتهم عدم العلم بالنصوص التي فيها علم بما قيد وإلا فكل ما بينه القرآن وأظهره فهو حق؛ بخلاف ما يظهر للإنسان لمعنى آخر غير نفس القرآن يسمى ظاهر القرآن كاستدلالات أهل البدع من المرجئة والجهمية والخوارج والشيعة. قال أحمد: وأما من زعم أن الإيمان الإقرار فما يقول في المعرفة؟ هل يحتاج إلى المعرفة مع الإقرار؟ وهل يحتاج أن يكون مصدقا بما عرف؟ فإن زعم أنه يحتاج إلى المعرفة مع الإقرار فقد زعم أنه من شيئين وإن زعم أنه يحتاج أن يكون مقرا ومصدقا بما عرف فهو من ثلاثة أشياء؛ وإن جحد وقال: لا يحتاج إلى المعرفة والتصديق فقد قال قولا عظيما ولا أحسب أحدا يدفع المعرفة والتصديق وكذلك العمل مع هذه الأشياء. قلت أحمد وأبو ثور وغيرهما من الأئمة كانوا قد عرفوا أصل قول المرجئة وهو أن الإيمان لا يذهب بعضه ويبقى بعضه؛ فلا يكون إلا شيئا واحدا فلا يكون ذا عدد: اثنين أو ثلاثة فإنه إذا كان له عدد أمكن ذهاب بعضه وبقاء بعضه بل لا يكون إلا شيئا واحدا ولهذا قالت الجهمية: إنه شيء واحد في القلب. وقالت الكرامية: إنه شيء واحد على اللسان كل ذلك فرارا من تبعض الإيمان وتعدده فلهذا صاروا يناظرونهم بما يدل على أنه ليس شيئا واحدا كما قلتم. فأبو ثور احتج بما اجتمع عليه " الفقهاء المرجئة " من أنه تصديق وعمل ولم يكن بلغه قول متكلميهم وجهميتهم أو لم يعد خلافهم خلافا وأحمد ذكر أنه لا بد من المعرفة والتصديق مع الإقرار وقال: إن من جحد المعرفة والتصديق فقد قال قولا عظيما فإن فساد هذا القول معلوم من دين الإسلام ولهذا لم يذهب إليه أحد قبل الكرامية مع أن الكرامية لا تنكر وجوب المعرفة والتصديق ولكن تقول: لا يدخل في اسم الإيمان حذرا من تبعضه وتعدده لأنهم رأوا أنه لا يمكن أن يذهب بعضه ويبقى بعضه بل ذلك يقتضي أن يجتمع في القلب إيمان وكبر واعتقدوا الإجماع على نفي ذلك. كما ذكر هذا الإجماع الأشعري وغيره. وهذه الشبهة التي أوقعتهم مع علم كثير منهم وعبادته وحسن إسلامه وإيمانه ولهذا دخل في " إرجاء الفقهاء " جماعة هم عند الأمة أهل علم ودين. ولهذا لم يكفر أحد من السلف أحدا من " مرجئة الفقهاء " بل جعلوا هذا من بدع الأقوال والأفعال؛ لا من بدع العقائد فإن كثيرا من النزاع فيها لفظي لكن اللفظ المطابق للكتاب والسنة هو الصواب فليس لأحد أن يقول بخلاف قول الله ورسوله لا سيما وقد صار ذلك ذريعة إلى بدع أهل الكلام من أهل الإرجاء وغيرهم وإلى ظهور الفسق فصار ذلك الخطأ اليسير في اللفظ سببا لخطأ عظيم في العقائد والأعمال فلهذا عظم القول في ذم " الإرجاء " حتى قال إبراهيم النخعي: لفتنتهم - يعني المرجئة - أخوف على هذه الأمة من فتنة</t>
  </si>
  <si>
    <t xml:space="preserve">ليست مما لا يفهم المراد به، بل نفس ما دلت عليه لا يكفي وحده في العمل فإن المأمور به صدقة تكون مطهرة مزكية لهم، وهذا إنما يعرف ببيان الرسول صلى الله عليه وسلم؛ ولهذا قال أحمد يحذر المتكلم في الفقه هذين الأصلين: المجمل والقياس. وقال: أكثر ما يخطئ الناس من جهة التأويل والقياس، يريد بذلك ألا يحكم بما يدل عليه العام والمطلق قبل النظر فيما يخصه ويقيده، ولا يعمل بالقياس قبل النظر في دلالة النصوص هل تدفعه، فإن أكثر خطأ الناس تمسكهم بما يظنونه من دلالة اللفظ والقياس، فالأمور الظنية لا يعمل بها حتى يبحث عن المعارض بحثا يطمئن القلب إليه، وإلا أخطأ من لم يفعل ذلك. وهذا هو الواقع في المتمسكين بالظواهر والأقيسة؛ ولهذا جعل الاحتجاج بالظواهر مع الإعراض عن تفسير النبي صلى الله عليه وسلم وأصحابه طريق أهل البدع، وله في ذلك مصنف كبير. وكذلك التمسك بالأقيسة مع الإعراض عن النصوص والآثار طريق أهل البدع؛ ولهذا كان كل قول ابتدعه هؤلاء قولا فاسدا، وإنما الصواب من أقوالهم ما وافقوا فيه السلف من الصحابة والتابعين لهم بإحسان، وقوله تعالى: {يوصيكم الله في أولادكم} [النساء: 11] سماه عاما وهو مطلق في الأحوال، يعمها على طريق البدل، كما يعم قوله: {فتحرير رقبة} [المجادلة: 3] جميع الرقاب، لا يعمها كما يعم لفظ الولد للأولاد، ومن أخذ بهذا لم يأخذ بما دل عليه ظاهر لفظ القرآن، بل أخذ بما ظهر له مما سكت عنه القرآن، فكان الظهور لسكوت القرآن عنه، لا لدلالة القرآن على أنه ظاهر، فكانوا متمسكين بظاهر من القول لا بظاهر القول، وعمدتهم عدم العلم بالنصوص التي فيها علم بما قيد، وإلا فكل ما بينه القرآن وأظهره فهو حق، بخلاف ما يظهر للإنسان لمعنى آخر غير نفس القرآن يسمى ظاهر القرآن. كاستدلالات أهل البدع من المرجئة والجهمية والخوارج والشيعة. قال أحمد: وأما من زعم أن الإيمان الإقرار، فما يقول في المعرفة؟ هل يحتاج إلى المعرفة مع الإقرار؟ وهل يحتاج أن يكون مصدقا بما عرف؟ فإن زعم أنه يحتاج إلى المعرفة مع الإقرار فلقد زعم أنه من شيئين، وإن زعم أنه يحتاج أن يكون مقرا ومصدقا بما عرف فهو من ثلاثة أشياء، وإن جحد وقال: لا يحتاج إلى المعرفة والتصديق، فقد قال قولا عظيما، ولا أحسب أحدا يدفع المعرفة والتصديق وكذلك العمل مع هذه الأشياء. قلت: أحمد وأبو ثور وغيرهما من الأئمة كانوا قد عرفوا أصل قول المرجئة، وهو: أن الإيمان لا يذهب بعضه ويبقى بعضه، فلا يكون إلا شيئا واحدا فلا يكون ذا عدد؛ اثنين أو ثلاثة، فإنه إذا كان له عدد، أمكن ذهاب بعضه وبقاء بعضه، بل لا يكون إلا شيئا واحدا، ولهذا قالت الجهمية: إنه شيء واحد في القلب. وقالت الكرامية: إنه شيء واحد على اللسان، كل ذلك فرارا من تبعض الإيمان وتعدده، فلهذا صاروا يناظرونهم بما يدل على أنه ليس شيئا واحدا، كما قلتم، فأبو ثور احتج بما اجتمع عليه الفقهاء المرجئة، من أنه تصديق وعمل، ولم يكن بلغه قول متكلميهم وجهميتهم، أو لم يعد خلافهم خلافا، وأحمد ذكر أنه لابد من المعرفة والتصديق مع الإقرار، وقال: إن من جحد المعرفة والتصديق فقد قال قولا عظيما، فإن فساد هذا القول معلوم من دين الإسلام؛ ولهذا لم يذهب إليه أحد قبل الكرامية، مع أن الكرامية لا تنكر وجوب المعرفة والتصديق، ولكن تقول: لا يدخل في اسم الإيمان حذرا من تبعضه وتعدده؛ لأنهم رأوا أنه لا يمكن أن يذهب بعضه ويبقى بعضه، بل ذلك يقتضي أن يجتمع في القلب إيمان وكبر، واعتقدوا الإجماع على نفي ذلك، كما ذكر هذا الإجماع الأشعري وغيره. وهذه الشبهة التي أوقعتهم مع علم كثير منهم وعبادته وحسن إسلامه وإيمانه؛ ولهذا دخل في إرجاء الفقهاء جماعة هم عند الأمة أهل علم ودين؛ ولهذا لم يكفر أحد من السلف أحدا من مرجئة الفقهاء بل جعلوا هذا من بدع الأقوال والأفعال، لا من بدع العقائد، فإن كثيرا من النزاع فيها لفظي، لكن اللفظ المطابق للكتاب والسنة هو الصواب فليس لأحد أن يقول بخلاف قول الله ورسوله، لا سيما وقد صار ذلك ذريعة إلى بدع أهل الكلام من أهل الإرجاء وغيرهم وإلى ظهور الفسق، فصار ذلك الخطأ اليسير في اللفظ سببا لخطأ عظيم</t>
  </si>
  <si>
    <t xml:space="preserve">MF-V07-S08-P005</t>
  </si>
  <si>
    <t xml:space="preserve">IMN-S00-P105</t>
  </si>
  <si>
    <t xml:space="preserve">S: V07P298–V07P327
T: V01P007–V01P359</t>
  </si>
  <si>
    <t xml:space="preserve">فصل: ومما يسأل عنه أنه إذا كان ما أوجبه الله من الأعمال الظاهرة أكثر من هذه الخمس؛ فلماذا قال: الإسلام هذه الخمس وقد أجاب بعض الناس بأن هذه أظهر شعائر الإسلام وأعظمها وبقيام العبد بها يتم إسلامه وتركه لها يشعر بانحلال قيد انقياده. و " التحقيق " أن النبي صلى الله عليه وسلم ذكر الدين الذي هو استسلام العبد لربه مطلقا الذي يجب لله عبادة محضة على الأعيان. فيجب على كل من كان قادرا عليه ليعبد الله بها مخلصا له الدين. وهذه هي الخمس وما سوى ذلك فإنما يجب بأسباب لمصالح فلا يعم وجوبها جميع الناس؛ بل إما أن يكون فرضا على الكفاية كالجهاد والأمر بالمعروف والنهي عن المنكر؛ وما يتبع ذلك من إمارة وحكم وفتيا؛ وإقراء وتحديث وغير ذلك. وإما أن يجب بسبب حق للآدميين يختص به من وجب له وعليه وقد يسقط بإسقاطه. وإذا حصلت المصلحة أو الإبراء إما بإبرائه وإما بحصول المصلحة فحقوق العباد مثل قضاء الديون ورد الغصوب والعواري والودائع والإنصاف من المظالم من الدماء والأموال والأعراض؛ إنما هي حقوق الآدميين وإذا أبرئوا منها سقطت. وتجب على شخص دون شخص في حال دون حال لم تجب عبادة محضة لله على كل عبد قادر؛ ولهذا يشترك فيها المسلمون واليهود والنصارى بخلاف الخمسة فإنها من خصائص المسلمين. وكذلك ما يجب من صلة الأرحام وحقوق الزوجة والأولاد والجيران والشركاء والفقراء. وما يجب من أداء الشهادة والفتيا والقضاء والإمارة والأمر بالمعروف والنهي عن المنكر والجهاد؛ كل ذلك يجب بأسباب عارضة على بعض الناس دون بعض لجلب منافع ودفع مضار لو حصلت بدون فعل الإنسان لم تجب؛ فما كان مشتركا فهو واجب على الكفاية وما كان مختصا فإنما يجب على زيد دون عمرو لا يشترك الناس في وجوب عمل بعينه على كل أحد قادر سوى الخمس؛ فإن زوجة زيد وأقاربه ليست زوجة عمرو وأقاربه فليس الواجب على هذا مثل الواجب على هذا بخلاف صوم رمضان وحج البيت والصلوات الخمس والزكاة؛ فإن الزكاة وإن كانت حقا ماليا فإنها واجبة لله؛ والأصناف الثمانية مصارفها؛ ولهذا وجبت فيها النية ولم يجز أن يفعلها الغير عنه بلا إذنه ولم تطلب من الكفار. وحقوق العباد لا يشترط لها النية ولو أداها غيره عنه بغير إذنه برئت ذمته ويطالب بها الكفار وما يجب حقا لله تعالى كالكفارات هو بسبب من العبد وفيها شوب العقوبات فإن الواجب لله " ثلاثة أنواع ": عبادة محضة كالصلوات وعقوبات محضة كالحدود وما يشبهها كالكفارات. وكذلك كفارات الحج وما يجب بالنذر فإن ذلك يجب بسبب فعل من العبد وهو واجب في ذمته. وأما " الزكاة " فإنها تجب حقا لله في ماله. ولهذا يقال: ليس في المال حق سوى الزكاة أي ليس فيه حق يجب بسبب المال سوى الزكاة وإلا ففيه واجبات بغير سبب المال كما تجب النفقات للأقارب والزوجة والرقيق والبهائم ويجب حمل العاقلة ويجب قضاء الديون ويجب الإعطاء في النائبة ويجب إطعام الجائع وكسوة العاري فرضا على الكفاية؛ إلى غير ذلك من الواجبات المالية. لكن بسبب عارض والمال شرط وجوبها كالاستطاعة في الحج فإن البدن سبب الوجوب والاستطاعة شرط والمال في الزكاة هو السبب والوجوب معه؛ حتى لو لم يكن في بلده من يستحقها حملها إلى بلدة أخرى وهي حق وجب لله تعالى. ولهذا قال: من قال من الفقهاء: إن التكليف شرط فيها فلا تجب على الصغير والمجنون. وأما عامة الصحابة والجمهور كمالك والشافعي وأحمد فأوجبوها في مال الصغير والمجنون لأن مالهما من جنس مال غيرهما ووليهما يقوم مقامهما بخلاف بدنهما. فإنه إنما يتصرف بعقلهما؛ وعقلهما ناقص. وصار هذا كما يجب العشر في أرضهما مع أنه إنما يستحقه الثمانية. وكذلك إيجاب الكفارة في مالهما. والصلاة والصيام إنما تسقط لعجز العقل عن الإيجاب لا سيما إذا انضم إلى عجز البدن كالصغير. وهذا المعنى منتف في المال فإن الولي قام مقامهما في الفهم كما يقوم مقامهما في جميع ما يجب في المال وأما بدنهما فلا يجب عليهما فيه شيء. فصل: (*) قال محمد بن نصر: واستدلوا على أن الإيمان هو ما ذكروه بالآيات التي تلوناها عند ذكر تسمية الله الصلاة وسائر الطاعات إيمانا واستدلوا أيضا بما قص الله من إباء إبليس حين عصى ربه في سجدة واحدة (*) أمر أن يسجدها لآدم فأباها. فهل جحد إبليس ربه وهو يقول: {رب بما أغويتني} ويقول: {رب فأنظرني إلى يوم يبعثون} إيمانا منه بالبعث وإيمانا بنفاذ قدرته في إنظاره إياه إلى يوم يبعثون وهل جحد أحدا من أنبيائه أو أنكر شيئا من سلطانه وهو يحلف بعزته؟ وهل كان كفره إلا بترك سجدة واحدة أمر بها فأباها؟ قال: واستدلوا أيضا بما قص الله علينا من نبأ ابني آدم {إذ قربا قربانا فتقبل من أحدهما ولم يتقبل من الآخر} إلى قوله: {فأصبح من الخاسرين} قالوا: وهل جحد ربه؟ وكيف يجحده وهو يقرب القربان؟ . قالوا: قال الله تعالى: {إنما يؤمن بآياتنا الذين إذا ذكروا بها خروا سجدا وسبحوا بحمد ربهم وهم لا يستكبرون} ولم يقل: إذا ذكروا بها أقروا بها فقط. وقال: {الذين آتيناهم الكتاب يتلونه حق تلاوته أولئك يؤمنون به} يعني يتبعونه حق اتباعه Page</t>
  </si>
  <si>
    <t xml:space="preserve">والتحقيق أن النبي صلى الله عليه وسلم ذكر الدين الذي هو استسلام العبد لربه مطلقا، الذي يجب لله عبادة محضة على الأعيان. فيجب على كل من كان قادرا عليه ليعبد الله بها مخلصا له الدين. وهذه هي الخمس، وما سوى ذلك فإنما يجب بأسباب لمصالح، فلا يعم وجوبها جميع الناس، بل إما أن يكون فرضا على الكفاية، كالجهاد، والأمر بالمعروف، والنهي عن المنكر، وما يتبع ذلك من إمارة، وحكم، وفتيا، وإقراء، وتحديث، وغير ذلك. وإما أن يجب بسبب حق للآدميين يختص به من وجب له وعليه. وقد يسقط بإسقاطه، وإذا حصلت المصلحة أو الإبراء، إما بإبرائه وإما بحصول المصلحة، فحقوق العباد مثل قضاء الديون ورد الغصوب، والعواري والودائع، والإنصاف من المظالم من الدماء والأموال والأعراض، إنما هي حقوق الآدميين. وإذا أبرئوا منها سقطت. وتجب على شخص دون شخص في حال دون حال، لم تجب عبادة محضة لله على كل عبد قادر؛ ولهذا يشترك فيها المسلمون واليهود والنصارى، بخلاف الخمسة فإنها من خصائص المسلمين. وكذلك ما يجب من صلة الأرحام، وحقوق الزوجة، والأولاد والجيران والشركاء، والفقراء، وما يجب من أداء الشهادة، والفتيا، والقضاء، والإمارة، والأمر بالمعروف والنهي عن المنكر، والجهاد، كل ذلك يجب بأسباب عارضة على بعض الناس دون بعض لجلب منافع ودفع مضار، لو حصلت بدون فعل الإنسان لم تجب، فما كان مشتركا فهو واجب على الكفاية، وما كان مختصا فإنما يجب على زيد دون عمرو، لا يشترك الناس في وجوب عمل بعينه على كل أحد قادر سوى الخمس، فإن زوجة زيد وأقاربه ليست زوجة عمرو وأقاربه فليس الواجب على هذا مثل الواجب على هذا، بخلاف صوم رمضان، وحج البيت، والصلوات الخمس، والزكاة؛ فإن الزكاة وإن كانت حقا ماليا فإنها واجبة لله، والأصناف الثمانية مصارفها؛ ولهذا وجبت فيها النية، ولم يجز أن يفعلها الغير عنه بلا إذنه، ولم تطلب من الكفار. وحقوق العباد لا يشترط لها النية، ولو أداها غيره عنه بغير إذنه برئت ذمته، ويطالب بها الكفار، وما يجب حقا لله تعالى كالكفارات هو بسبب من العبد، وفيها شوب العقوبات، فإن الواجب لله ثلاثة أنواع: عبادة محضة كالصلوات، وعقوبات محضة كالحدود، وما يشبهها كالكفارات، وكذلك كفارات الحج، وما يجب بالنذر فإن ذلك يجب بسبب فعل من العبد، وهو واجب في ذمته. وأما الزكاة فإنها تجب حقا لله في ماله؛ ولهذا يقال: ليس في المال حق سوى الزكاة، أي ليس فيه حق يجب بسبب المال سوى الزكاة، وإلا ففيه واجبات بغير سبب المال، كما تجب النفقات للأقارب، والزوجة، والرقيق والبهائم، ويجب حمل العاقلة، ويجب قضاء الديون، ويجب الإعطاء في النائبة، ويجب إطعام الجائع وكسوة العاري فرضا على الكفاية، إلى غير ذلك من الواجبات المالية، لكن بسبب عارض، والمال شرط وجوبها، كالاستطاعة في الحج، فإن البدن سبب الوجوب والاستطاعة شرط، والمال في الزكاة هو السبب والوجوب معه، حتى لو لم يكن في بلده من يستحقها حملها إلى بلد أخرى، وهي حق وجب لله تعالى؛ ولهذا قال من قال من الفقهاء: إن التكليف شرط فيها، فلا تجب على الصغير والمجنون، وأما عامة الصحابة والجمهور، كمالك والشافعي وأحمد، فأوجبوها في مال الصغير والمجنون؛ لأن مالهما من جنس مال غيرهما ووليهما يقوم مقامهما، بخلاف بدنهما، فإنه إنما يتصرف بعقلهما، وعقلهما ناقص. وصار هذا كما يجب العشر في أرضهما مع أنه إنما يستحقه الثمانية، وكذلك إيجاب الكفارة في مالهما، والصلاة والصيام. إنما تسقط لعجز العقل عن الإيجاب، لا سيما إذا انضم إلى عجز البدن كالصغير. وهذا المعنى منتف في المال فإن الولي قام مقامهما في الفهم كما يقوم مقامهما في جميع ما يجب في المال، وأما بدنهما فلا يجب عليهما فيه شيء. فصل قال محمد بن نصر: واستدلوا على أن الإيمان هو ما ذكره بالآيات التي تلوناها عند ذكر تسمية الله الصلاة وسائر الطاعات إيمانا، واستدلوا أيضا بما قص الله من إباء إبليس حين عصى ربه في سجدة واحدة أمر أن يسجدها لآدم فأباها. فهل جحد إبليس ربه وهو يقول: {رب بمآ أغويتني} [الحجر: 39] ويقول: {رب فأنظرني إلى يوم يبعثون} [الحجر: 36] إيمانا منه بالبعث، وإيمانا بنفاذ قدرته في إنظاره إياه إلى يوم يبعثون؟ وهل جحد أحدا من أنبيائه أو أنكر شيئا من سلطانه وهو يحلف بعزته؟ وهل كان كفره إلا بترك سجدة واحدة أمر بها فأباها؟ قال: واستدلوا أيضا بما قص الله علينا من نبأ ابني آدم {إذ قربا قربانا فتقبل من أحدهما ولم يتقبل من الآخر} إلى قوله: {فأصبح من الخاسرين} [المائدة: 27: 30] ، قالوا: وهل جحد ربه؟ وكيف يجحده وهو يقرب القربان؟ . قالوا: قال الله تعالى: {إنما يؤمن بآياتنا الذين إذا ذكروا بها خروا سجدا وسبحوا بحمد ربهم وهم لا يستكبرون} [السجدة: 15] ، ولم يقل: إذا ذكروا بها أقروا بها فقط، وقال: {الذين آتيناهم الكتاب يتلونه حق تلاوته أولئك يؤمنون به} [البقرة: 121] يعني: يتبعونه حق اتباعه؟</t>
  </si>
  <si>
    <t xml:space="preserve">MF-V07-S08-P007</t>
  </si>
  <si>
    <t xml:space="preserve">IMN-S00-P107</t>
  </si>
  <si>
    <t xml:space="preserve">لأنه لا يستحق هذا الاسم عنده إلا من أدى ما وجب عليه وانتهى عما حرم عليه من الموجبات للنار التي هي الكبائر. قالوا: فلما أبان الله أن هذا الاسم يستحقه من قد استحق الجنة وأن الله قد أوجب الجنة عليه. وعلمنا أنا قد آمنا وصدقنا؛ لأنه لا يخرج من التصديق إلا بالتكذيب؛ ولسنا بشاكين ولا مكذبين؛ وعلمنا أنا عاصون له مستوجبون للعذاب وهو ضد الثواب الذي حكم الله به للمؤمنين على اسم الإيمان؛ علمنا أنا قد آمنا وأمسكنا عن الاسم الذي أثبت الله عليه الحكم في الجنة وهو من الله اسم ثناء وتزكية وقد نهانا الله أن نزكي أنفسنا وأمرنا بالخوف على أنفسنا وأوجب لنا العذاب بعصياننا فعلمنا أنا لسنا بمستحقين بأن نتسمى مؤمنين إذ أوجب الله على اسم الإيمان الثناء والتزكية والرأفة والرحمة والمغفرة والجنة؛ وأوجب على الكبائر النار وهذان حكمان متضادان. فإن قيل: فكيف أمسكتم عن اسم الإيمان أن تسموا به وأنتم تزعمون أن أصل الإيمان في قلوبكم وهو التصديق بأن الله حق وما قاله صدق؟ قالوا: إن الله ورسوله وجماهير المسلمين سموا الأشياء بما غلب عليها من الأسماء فسموا الزاني فاسقا والقاذف فاسقا وشارب الخمر فاسقا ولم يسموا واحدا من هؤلاء متقيا ولا ورعا؛ وقد أجمع المسلمون أن فيه أصل التقوى والورع وذلك أنه يتقي أن يكفر أو يشرك بالله شيئا. وكذلك يتقي الله أن يترك الغسل من الجنابة أو الصلاة ويتقي أن يأتي أمه فهو في جميع ذلك متق وقد أجمع المسلمون من الموافقين والمخالفين أنهم لا يسمونه متقيا ولا ورعا إذا كان يأتي بالفجور فلما أجمعوا أن أصل التقى والورع ثابت فيه وأنه قد يزيد فيه فرعا بعد الأصل كتورعه عن إتيان المحارم ثم لا يسمونه متقيا ولا ورعا مع إتيانه بعض الكبائر بل سموه فاسقا وفاجرا مع علمهم أنه قد أتى ببعض التقى والورع فمنعهم من ذلك أن اسم التقى اسم ثناء وتزكية وأن الله قد أوجب عليه المغفرة والجنة. قالوا: فلذلك لا نسميه مؤمنا ونسميه فاسقا زانيا. وإن كان في قلبه أصل اسم الإيمان لأن الإيمان اسم أثنى الله به على المؤمنين وزكاهم به وأوجب عليه الجنة فمن ثم قلنا: مسلم ولم نقل: مؤمن قالوا: ولو كان أحد من المسلمين الموحدين يستحق ألا يكون في قلبه إيمان ولا إسلام لكان أحق الناس بذلك أهل النار الذين دخلوها فلما وجدنا النبي صلى الله عليه وسلم يخبر أن الله يقول: {أخرجوا من النار من كان في قلبه مثقال ذرة من إيمان} ثبت أن شر المسلمين في قلبه إيمان ولما وجدنا الأمة تحكم عليه بالأحكام التي ألزمها الله للمسلمين ولا يكفرونهم ولا يشهدون لهم بالجنة: ثبت أنهم مسلمون إذ أجمعوا أن يمضوا عليهم أحكام المسلمين وأنهم لا يستحقون أن يسموا مؤمنين إذ كان الإسلام يثبت للملة التي يخرج بها الإنسان من جميع الملل فتزول عنه أسماء الملل إلا اسم الإسلام وتثبت أحكام الإسلام عليه وتزول عنه أحكام جميع الملل. فإن قال لهم قائل: لم لم تقولوا: كافر إن شاء الله تريدون به كمال الكفر كما قلتم: مؤمنون إن شاء الله تريدون به كمال الإيمان؟ قالوا: لأن الكافر منكر للحق والمؤمن أصل إيمانه الإقرار، والإنكار لا أول له ولا آخر فتنتظر به الحقائق والإيمان أصله التصديق والإقرار ينتظر به حقائق الأداء لما أقر والتحقيق لما صدق؛ ومثل ذلك كمثل رجلين عليهما حق لرجل فسأل أحدهما حقه فقال: ليس لك عندي حق فأنكر وجحد فلم يبق له منزلة يحقق بها ما قال إذا جحد وأنكر وسأل الآخر حقه فقال: نعم لك علي كذا وكذا فليس إقراره بالذي يصل إليه بذلك حقه دون أن يوفيه؛ فهو منتظر له أن يحقق ما قال بالأداء ويصدق إقراره بالوفاء ولو أقر ثم لم يؤد إليه حقه كان كمن جحده في المعنى إذ استويا في الترك للأداء فتحقيق ما قال أن يؤدي إليه حقه؛ فإن أدى جزءا منه حقق بعض ما قال ووفى ببعض ما أقر به. وكلما أدى جزءا ازداد تحقيقا لما أقر به. وعلى المؤمن الأداء أبدا بما أقر به حتى يموت. فمن ثم قلنا: مؤمن إن شاء الله ولم نقل: كافر إن شاء الله.</t>
  </si>
  <si>
    <t xml:space="preserve">قال: ثم أوجب الله النار على الكبائر، فدل بذلك على أن اسم الإيمان زائل عمن أتى كبيرة. قالوا: ولم نجده أوجب الجنة باسم الإسلام، فثبت أن اسم الإسلام له ثابت على حاله، واسم الإيمان زائل عنه. فإن قيل لهم في قولهم هذا: ليس الإيمان ضد الكفر، قالوا: الكفر ضد لأصل الإيمان، لأن للإيمان أصلا وفروعا، فلا يثبت الكفر حتى يزول أصل الإيمان الذي هو ضد الكفر، فإن قيل لهم: فالذين زعمتم أن النبي صلى الله عليه وسلم أزال عنهم اسم الإيمان، هل فيهم من الإيمان شيء؟ قالوا: نعم أصله ثابت، ولولا ذلك لكفروا، ألم تسمع إلى ابن مسعود أنكر على الذي شهد أنه مؤمن ثم قال: لكنا نؤمن بالله وملائكته وكتبه ورسله يخبرك أنه قد آمن من جهة أنه صدق، وأنه لا يستحق اسم المؤمن إذا كان يعلم أنه مقصر، لأنه لا يستحق هذا الاسم عنده إلا من أدى ما وجب عليه وانتهى عما حرم عليه من الموجبات للنار التي هي الكبائر. قالوا: فلما أبان الله أن هذا الاسم يستحقه من قد استحق الجنة، وأن الله قد أوجب الجنة عليه، وعلمنا أنا قد آمنا وصدقنا؛ لأنه لا يخرج من التصديق إلا بالتكذيب، ولسنا بشاكين ولا مكذبين، وعلمنا أنا عاصون له مستوجبون للعذاب وهو ضد الثواب الذي حكم الله به للمؤمنين على اسم الإيمان علمنا أنا قد آمنا وأمسكنا عن الاسم الذي أثبت الله عليه الحكم في الجنة وهو من الله اسم ثناء وتزكية، وقد نهانا الله أن نزكي أنفسنا، وأمرنا بالخوف على أنفسنا، وأوجب لنا العذاب بعصياننا، فعلمنا أنا لسنا بمستحقين بأن نتسمى مؤمنين؛ إذ أوجب الله على اسم الإيمان الثناء والتزكية والرأفة والرحمة والمغفرة والجنة، وأوجب على الكبائر النار، وهذان حكمان متضادان. فإن قيل: فكيف أمسكتم عن اسم الإيمان أن تسموا به، وأنتم تزعمون أن أصل الإيمان في قلوبكم وهو التصديق بأن الله حق، وما قاله صدق؟ قالوا: إن الله ورسوله وجماهير المسلمين سموا الأشياء بما غلب عليها من الأسماء، فسموا الزاني فاسقا، والقاذف فاسقا وشارب الخمر فاسقا، ولم يسموا واحدا من هؤلاء متقيا ولا ورعا، وقد أجمع المسلمون أن فيه أصل التقوى والورع، وذلك أنه يتقي أن يكفر أو يشرك بالله شيئا، وكذلك يتقي الله أن يترك الغسل من الجنابة أوالصلاة، ويتقي أن يأتي أمه، فهو في جميع ذلك متق، وقد أجمعالمسلمون من الموافقين والمخالفين أنهم لا يسمونه متقيا ولا ورعا إذا كان يأتي بالفجور، فلما أجمعوا أن أصل التقي والورع ثابت فيه، وأنه قد يزيد فيه فرعا بعد الأصل كتورعه عن إتيان المحارم، ثم لا يسمونه متقيا ولا ورعا مع إتيانه بعض الكبائر، بل سموه فاسقا وفاجرا مع علمهم أنه قد أتى ببعض التقى والورع، فمنعهم من ذلك أن اسم التقي اسم ثناء وتزكية، وأن الله قد أوجب عليه المغفرة والجنة. قالوا: فلذلك لا نسميه مؤمنا ونسميه فاسقا زانيا، وإن كان في قلبه أصل اسم الإيمان؛ لأن الإيمان اسم أثنى الله به على المؤمنين وزكاهم به وأوجب عليه الجنة، فمن ثم قلنا: مسلم، ولم نقل: مؤمن، قالوا: ولو كان أحد من المسلمين الموحدين يستحق ألا يكون في قلبه إيمان ولا إسلام، لكان أحق الناس بذلك أهل النار الذين دخلوها، فلما وجدنا النبي صلى الله عليه وسلم يخبر أن الله يقول: " أخرجوا من النار من كان في قلبه مثقال ذرة من إيمان "، ثبت أن شر المسلمين في قلبه إيمان، ولما وجدنا الأمة تحكم عليه بالأحكام التي ألزمها الله للمسلمين ولا يكفرونهم، ولا يشهدون لهم بالجنة، ثبت أنهم مسلمون؛ إذ أجمعوا أن يمضوا عليهم أحكام المسلمين، وأنهم لا يستحقون أن يسموا مؤمنين؛ إذ كان الإسلام يثبت للملة التي يخرج بها الإنسان من جميع الملل، فتزول عنه أسماء الملل إلا اسم الإسلام، وتثبت أحكام الإسلام عليه، وتزول عنه أحكام جميع الملل. فإن قال لهم قائل: لم لم تقولوا: كافر إن شاء الله، تريدون به كمال الكفر، كما قلتم: مؤمنون إن شاء الله تريدون به كمال الإيمان؟ قالوا: لأن الكافر منكر للحق، والمؤمن أصل إيمانه الإقرار، والإنكار لا أول له ولا آخر فتنتظر به الحقائق، والإيمان أصله التصديق، والإقرار ينتظر به حقائق الأداء لما أقر، والتحقيق لما صدق، ومثل ذلك كمثل رجلين عليهما حق لرجل، فسأل أحدهما حقه، فقال: ليس لك عندي حق، فأنكر وجحد فلم يبق له منزلة يحقق بها ما قال إذا جحد وأنكر، وسأل الآخر حقه فقال: نعم لك علي كذا وكذا، فليس إقراره بالذي يصل إليه بذلك حقه دون أن يوفيه، فهو منتظر له أن يحقق ما قال بالأداء ويصدق إقراره بالوفاء، ولو أقر ثم لم يؤد إليه حقه كان كمن جحده في المعنى إذ استويا في الترك للأداء، فتحقيق ما قال أن يؤدي إليه حقه، فإن أدى جزءا منه حقق بعض ما قال ووفى ببعض ما أقر به. وكلما أدى جزءا ازداد تحقيقا لما أقر به، وعلى المؤمن الأداء أبدا بما أقر به حتى يموت. فمن ثم قلنا: مؤمن إن شاء الله، ولم نقل: كافر إن شاء الله.</t>
  </si>
  <si>
    <t xml:space="preserve">MF-V07-S09-P025</t>
  </si>
  <si>
    <t xml:space="preserve">IMN-S00-P136</t>
  </si>
  <si>
    <t xml:space="preserve">وسائر المرجئة وهو أن الشيء المركب إذا زال بعض أجزائه لزم زواله كله؛ لكن هو لم يذكر إلا ظاهر شبهتهم. والجواب عما ذكروه هو سهل فإنه يسلم له أن الهيئة الاجتماعية لم تبق مجتمعة كما كانت؛ لكن لا يلزم من زوال بعضها زوال سائر الأجزاء. والشافعي مع الصحابة والتابعين وسائر السلف يقولون: إن الذنب يقدح في كمال الإيمان ولهذا نفى الشارع الإيمان عن هؤلاء فذلك المجموع الذي هو الإيمان لم يبق مجموعا مع الذنوب لكن يقولون بقي بعضه: إما أصل وإما أكثره وإما غير ذلك فيعود الكلام إلى أنه يذهب بعضه ويبقى بعضه. ولهذا كانت المرجئة تنفر من لفظ النقص أعظم من نفورها من لفظ الزيادة؛ لأنه إذا نقص لزم ذهابه كله عندهم إن كان متبعضا متعددا عند من يقول بذلك وهم الخوارج والمعتزلة. وإما الجهمية فهو واحد عندهم لا يقبل التعدد؛ فيثبتون واحدا لا حقيقة له؛ كما قالوا مثل ذلك في وحدانية الرب ووحدانية صفاته عند من أثبتها منهم ومن العجب أن الأصل الذي أوقعهم في هذا اعتقادهم أنه لا يجتمع في الإنسان بعض الإيمان وبعض الكفر أو ما هو إيمان وما هو كفر واعتقدوا أن هذا متفق عليه بين المسلمين كما ذكر ذلك أبو الحسن وغيره فلأجل اعتقادهم هذا الإجماع وقعوا فيما هو مخالف للإجماع الحقيقي إجماع السلف الذي ذكره غير واحد من الأئمة؛ بل وصرح غير واحد منهم بكفر من قال بقول جهم في الإيمان. ولهذا نظائر متعددة؛ يقول الإنسان قولا مخالفا للنص والإجماع القديم حقيقة ويكون معتقدا أنه متمسك بالنص والإجماع. وهذا إذا كان مبلغ علمه واجتهاده؛ فالله يثيبه على ما أطاع الله فيه من اجتهاده ويغفر له ما عجز عن معرفته من الصواب الباطن وهم لما توهموا أن الإيمان الواجب على جميع الناس نوع واحد؛ صار بعضهم يظن أن ذلك النوع من حيث هو لا يقبل التفاضل. فقال لي مرة بعضهم: الإيمان من حيث هو إيمان لا يقبل الزيادة والنقصان. فقلت له: قولك من حيث هو؛ كما تقول: الإنسان من حيث هو إنسان والحيوان من حيث هو حيوان والوجود من حيث هو وجود والسواد من حيث هو سواد وأمثال ذلك لا يقبل الزيادة والنقصان والصفات؛ فتثبت لهذه المسميات وجودا مطلقا مجردا عن جميع القيود والصفات وهذا لا حقيقة له في الخارج وإنما هو شيء يقدره الإنسان في ذهنه كما يقدر موجودا لا قديما ولا حادثا ولا قائما بنفسه ولا بغيره ويقدر إنسانا لا موجودا ولا معدوما ويقول: الماهية من حيث هي هي لا توصف بوجود ولا عدم والماهية من حيث هي هي شيء يقدره الذهن وذلك موجود في الذهن لا في الخارج. وأما تقدير شيء لا يكون في الذهن ولا في الخارج فممتنع وهذا التقدير لا يكون إلا في الذهن كسائر تقدير الأمور الممتنعة؛ مثل تقدير صدور العالم عن صانعين ونحو ذلك؛ فإن هذه المقدرات في الذهن. فهكذا تقدير إيمان لا يتصف به مؤمن؛ بل هو مجرد عن كل قيد. وتقدير إنسان لا يكون موجودا ولا معدوما؛ بل ما ثم إيمان إلا مع المؤمنين ولا ثم إنسانية إلا ما اتصف بها الإنسان؛ فكل إنسان له إنسانية تخصه وكل مؤمن له إيمان يخصه؛ فإنسانية زيد تشبه إنسانية عمر وليست هي هي. وإذا اشتركوا في نوع الإنسانية فمعنى ذلك أنهما يشتبهان فيما يوجد في الخارج ويشتركان في أمر كلي مطلق يكون في الذهن. وكذلك إذا قيل: إيمان زيد مثل إيمان عمرو؛ فإيمان كل واحد يخصه. فلو قدر أن الإيمان يتماثل لكان لكل مؤمن إيمان يخصه وذلك الإيمان مختص معين ليس هو الإيمان من حيث هو هو؛ بل هو إيمان معين وذلك الإيمان يقبل الزيادة. والذين ينفون التفاضل في هذه الأمور يتصورون في أنفسهم إيمانا مطلقا أو إنسانا مطلقا أو وجودا مطلقا مجردا عن جميع الصفات المعينة له ثم يظنون أن هذا هو الإيمان الموجود في الناس وذلك لا يقبل التفاضل ولا يقبل في نفسه التعدد؛ إذ هو تصور معين قائم في نفس متصوره. ولهذا يظن كثير من هؤلاء أن الأمور المشتركة في شيء واحد هي واحدة بالشخص والعين. حتى انتهى الأمر بطائفة من علمائهم علما وعبادة إلى أن جعلوا الوجود كذلك؛ فتصوروا أن الموجودات مشتركة في مسمى الوجود وتصوروا هذا في أنفسهم فظنوه في الخارج كما هو في أنفسهم ثم ظنوا أنه الله؛ فجعلوا الرب هو هذا الوجود الذي لا يوجد قط إلا في نفس متصوره؛ ولا يكون في الخارج.</t>
  </si>
  <si>
    <t xml:space="preserve">والشافعي مع الصحابة والتابعين وسائر السلف يقولون: إن الذنب يقدح في كمال الإيمان، ولهذا نفى الشارع الإيمان عن هؤلاء، فذلك المجموع الذي هو الإيمان لم يبق مجموعا مع الذنوب، لكن يقولون بقى بعضه؛ إما أصله وإما أكثره وإما غير ذلك، فيعود الكلام إلى أنه يذهب بعضه ويبقى بعضه. ولهذا كانت المرجئة تنفر من لفظ النقص أعظم من نفورها من لفظ الزيادة؛ لأنه إذا نقص لزم ذهابه كله عندهم إن كان متبعضا متعددا عند من يقول بذلك، وهم الخوارج والمعتزلة. وأما الجهمية فهو واحد عندهم لا يقبل التعدد، فيثبتون واحدا لا حقيقة له، كما قالوا مثل ذلك في وحدانية الرب ووحدانية صفاته عند من أثبتها منهم. ومن العجب أن الأصل الذي أوقعهم في هذا، اعتقادهم أنه لا يجتمع في الإنسان بعض الإيمان وبعض الكفر، أو ما هو إيمان وما هو كفر، واعتقدوا أن هذا متفق عليه بين المسلمين كما ذكر ذلك أبو الحسن وغيره، فلأجل اعتقادهم هذا الإجماع وقعوا فيما هو مخالف للإجماع الحقيقي، إجماعالسلف الذي ذكره غير واحد من الأئمة بل وصرح غير واحد منهم بكفر من قال بقول جهم في الإيمان. ولهذا نظائر متعددة، يقول الإنسان قولا مخالفا للنص والإجماع القديم حقيقة، ويكون معتقدا أنه متمسك بالنص والإجماع. وهذا إذا كان مبلغ علمه واجتهاده، فالله يثيبه على ما أطاع الله فيه من اجتهاده، ويغفر له ما عجز عن معرفته من الصواب الباطن، وهم لما توهموا أن الإيمان الواجب على جميع الناس نوع واحد، صار بعضهم يظن أن ذلك النوع من حيث هو لا يقبل التفاضل. فقال لي مرة بعضهم: الإيمان من حيث هو إيمان لا يقبل الزيادة والنقصان. فقلت له: قولك من حيث هو، كما تقول: الإنسان من حيث هو إنسان، والحيوان من حيث هو حيوان، والوجود من حيث هو وجود، والسواد من حيث هو سواد، وأمثال ذلك لا يقبل الزيادة والنقصان والصفات، فتثبت لهذه المسميات وجودا مطلقا مجردا عن جميع القيود والصفات وهذا لا حقيقة له في الخارج، وإنما هو شيء يقدره الإنسان في ذهنه، كما يقدر موجودا لا قديما ولا حادثا ولا قائما بنفسه ولا بغيره، ويقدر إنسانا لا موجودا ولا معدوما، ويقول: الماهية من حيث هي هي لا توصف بوجود ولا عدم، والماهية من حيث هي هي شيء يقدره الذهن، وذلك موجود في الذهن لا في الخارج، وأما تقدير شيء لا يكون في الذهن ولا في الخارج فممتنع، وهذا التقدير لا يكون إلا في الذهن كسائر تقدير الأمور الممتنعة، مثل تقدير صدور العالم عن صانعين ونحو ذلك، فإن هذه المقدرات في الذهن. فهكذا تقدير إيمان لا يتصف به مؤمن، بل هو مجرد عن كل قيد. وتقدير إنسان لا يكون موجودا ولا معدوما، بل ما ثم إيمان إلا مع المؤمنين، ولا ثم إنسانية إلا ما اتصف بها الإنسان، فكل إنسان له إنسانية تخصه، وكل مؤمن له إيمان يخصه، فإنسانية زيد تشبه إنسانية عمرو، ليست هي هي. وإذا اشتركوا في نوع الإنسانية فمعنى ذلك أنهما يشتبهان فيما يوجد في الخارج، ويشتركان في أمر كلي مطلق يكون في الذهن. وكذلك إذا قيل: إيمان زيد مثل إيمان عمرو، فإيمان كل واحد يخصه، فلو قدر أن الإيمان يتماثل لكان لكل مؤمن إيمان يخصه، وذلك الإيمان مختص معين ليس هو الإيمان من حيث هو هو، بل هو إيمان معين، وذلك الإيمان يقبل الزيادة، والذين ينفون التفاضل في هذه الأمور يتصورون في أنفسهم إيمانا مطلقا أو إنسانا مطلقا، أو وجودا مطلقا مجردا عن جميع الصفات المعينة له ثم يظنون أن هذا هو الإيمان الموجود في الناس. وذلك لا يقبل التفاضل ولا يقبل في نفسه التعدد، إذ هو تصور معين قائم في نفس متصوره. ولهذا يظن ثير من هؤلاء أن الأمور المشتركة في شيء واحد هي واحدة بالشخص والعين، حتى انتهى الأمر بطائفة من علمائهم علما وعبادة إلى أن جعلوا الوجود كذلك، فتصوروا أن الموجودات مشتركة في مسمى الوجود، وتصوروا هذا في أنفسهم، فظنوه في الخارج كما هو في أنفسهم، ثم ظنوا أنه الله، فجعلوا الرب هو هذا الوجود الذي لا يوجد قط إلا في نفس متصوره، ولا يكون في الخارج.</t>
  </si>
  <si>
    <t xml:space="preserve">MF-V07-S07-P008</t>
  </si>
  <si>
    <t xml:space="preserve">IMN-S00-P095</t>
  </si>
  <si>
    <t xml:space="preserve">S: V07P259–V07P297
T: V01P007–V01P359</t>
  </si>
  <si>
    <t xml:space="preserve">قالها لذهب عنه ما يجد أعوذ بالله من الشيطان الرجيم} فأمر سبحانه بالاستعاذة عند طلب العبد الخير لئلا يعوقه الشيطان عنه؛ وعند ما يعرض عليه من الشر ليدفعه عنه عند إرادة العبد للحسنات؛ وعند ما يأمره الشيطان بالسيئات. ولهذا قال النبي صلى الله عليه وسلم {لا يزال الشيطان يأتي أحدكم فيقول: من خلق كذا؟ من خلق كذا؟ حتى يقول: من خلق الله؟ فمن وجد ذلك فليستعذ بالله ولينته} فأمر بالاستعاذة عندما يطلب الشيطان أن يوقعه في شر أو يمنعه من خير؛ كما يفعل العدو مع عدوه. وكلما كان الإنسان أعظم رغبة في العلم والعبادة وأقدر على ذلك من غيره بحيث تكون قوته على ذلك أقوى ورغبته وإرادته في ذلك أتم؛ كان ما يحصل له إن سلمه الله من الشيطان أعظم؛ وكان ما يفتتن به إن تمكن منه الشيطان أعظم. ولهذا قال الشعبي: كل أمة علماؤها شرارها إلا المسلمين فإن علماءهم خيارهم. وأهل السنة في الإسلام؛ كأهل الإسلام في الملل؛ وذلك أن كل أمة غير المسلمين فهم ضالون وإنما يضلهم علماؤهم؛ فعلماؤهم شرارهم والمسلمون على هدى وإنما يتبين الهدى بعلمائهم فعلماؤهم خيارهم؛ وكذلك أهل السنة أئمتهم خيار الأمة وأئمة أهل البدع أضر على الأمة من أهل الذنوب. ولهذا أمر النبي صلى الله عليه وسلم بقتل الخوارج؛ ونهى عن قتال الولاة الظلمة؛ وأولئك لهم نهمة في العلم والعبادة؛ فصار يعرض لهم من الوساوس التي تضلهم - وهم يظنونها هدى فيطيعونها - ما لا يعرض لغيرهم ومن سلم من ذلك منهم كان من أئمة المتقين مصابيح الهدى وينابيع العلم؛ كما قال ابن مسعود لأصحابه: كونوا ينابيع العلم مصابيح الحكمة سرج الليل؛ جدد القلوب أحلاس البيوت خلقان الثياب؛ تعرفون في أهل السماء وتخفون على أهل الأرض. فصل: ومما ينبغي أن يعلم أن الألفاظ الموجودة في القرآن والحديث إذا عرف تفسيرها وما أريد بها من جهة النبي صلى الله عليه وسلم لم يحتج في ذلك إلى الاستدلال بأقوال أهل اللغة ولا غيرهم؛ ولهذا قال الفقهاء: " الأسماء ثلاثة أنواع " نوع يعرف حده بالشرع كالصلاة والزكاة؛ ونوع يعرف حده باللغة كالشمس والقمر؛ ونوع يعرف حده بالعرف كلفظ القبض ولفظ المعروف في قوله: {وعاشروهن بالمعروف} ونحو ذلك. وروي عن ابن عباس أنه قال: تفسير القرآن على أربعة أوجه: تفسير تعرفه العرب من كلامها وتفسير لا يعذر أحد بجهالته وتفسير يعلمه العلماء وتفسير لا يعلمه إلا الله من ادعى علمه فهو كاذب. فاسم الصلاة والزكاة والصيام والحج ونحو ذلك قد بين الرسول صلى الله عليه وسلم ما يراد بها في كلام الله ورسوله وكذلك لفظ الخمر وغيرها ومن هناك يعرف معناها فلو أراد أحد أن يفسرها بغير ما بينه النبي صلى الله عليه وسلم لم يقبل منه وأما الكلام في اشتقاقها ووجه دلالتها فذاك من جنس علم البيان. وتعليل الأحكام هو زيادة في العلم وبيان حكمة ألفاظ القرآن؛ لكن معرفة المراد بها لا يتوقف على هذا. واسم الإيمان والإسلام والنفاق والكفر هي أعظم من هذا كله؛ فالنبي صلى الله عليه وسلم قد بين المراد بهذه الألفاظ بيانا لا يحتاج معه إلى الاستدلال على ذلك بالاشتقاق وشواهد استعمال العرب ونحو ذلك؛ فلهذا يجب الرجوع في مسميات هذه الأسماء إلى بيان الله ورسوله فإنه شاف كاف؛ بل معاني هذه الأسماء معلومة من حيث الجملة للخاصة والعامة بل كل من تأمل ما تقوله الخوارج والمرجئة في معنى الإيمان علم بالاضطرار أنه مخالف للرسول ويعلم بالاضطرار أن طاعة الله ورسوله من تمام الإيمان وأنه لم يكن يجعل كل من أذنب ذنبا كافرا ويعلم أنه لو قدر أن قوما قالوا للنبي صلى الله عليه وسلم نحن نؤمن بما جئتنا به بقلوبنا من غير شك؛ ونقر بألسنتنا بالشهادتين إلا أنا لا نطيعك في شيء مما أمرت به ونهيت عنه فلا نصلي ولا نصوم ولا نحج ولا نصدق الحديث ولا نؤدي الأمانة ولا نفي بالعهد ولا نصل الرحم ولا نفعل شيئا من الخير الذي أمرت به ونشرب الخمر؛ وننكح ذوات المحارم بالزنا الظاهر ونقتل من قدرنا عليه من أصحابك وأمتك ونأخذ أموالهم بل نقتلك أيضا ونقاتلك مع أعدائك؛ هل كان يتوهم عاقل أن النبي صلى الله عليه وسلم يقول لهم: أنتم مؤمنون كاملو الإيمان وأنتم من أهل شفاعتي يوم القيامة ويرجى لكم ألا يدخل أحد منكم النار بل كل مسلم يعلم بالاضطرار أنه يقول لهم: أنتم أكفر الناس بما جئت به ويضرب رقابهم إن لم يتوبوا من ذلك. وكذلك كل مسلم يعلم أن شارب الخمر والزاني والقاذف والسارق لم يكن النبي صلى الله عليه وسلم يجعلهم مرتدين يجب قتلهم بل القرآن والنقل المتواتر عنه يبين أن هؤلاء لهم عقوبات غير عقوبة المرتد عن الإسلام</t>
  </si>
  <si>
    <t xml:space="preserve">وفي الصحيحين عن النبي صلى الله عليه وسلم أنه قال: " إني لأعلم كلمة لو قالها لذهب عنه ما يجد: أعوذ بالله من الشيطان الرجيم ". فأمر سبحانه بالاستعاذة عند طلب العبد الخير؛ لئلا يعوقه الشيطان عنه، وعندما يعرض عليه من الشر ليدفعه عنه عند إرادة العبد للحسنات، وعند ما يأمره الشيطان بالسيئات؛ ولهذا قال النبي صلى الله عليه وسلم: " لا يزال الشيطان يأتي أحدكم فيقول: من خلق كذا؟ من خلق كذا؟ حتى يقول: من خلق الله؟ فمن وجد ذلك فليستعذ بالله ولينته "، فأمر بالاستعاذة عندما يطلب الشيطان أن يوقعه في شر أو يمنعه من خير، كما يفعل العدو مع عدوه. وكلما كان الإنسان أعظم رغبة في العلم والعبادة، وأقدر على ذلك من غيره بحيث تكون قوته على ذلك أقوى، ورغبته وإرادته في ذلك أتم، كان ما يحصل له إن سلمه الله من الشيطان أعظم، وكان ما يفتتن به إن تمكن منه الشيطان أعظم؛ ولهذا قال الشعبي: كل أمة علماؤها شرارها، إلا المسلمين فإن علماءهم خيارهم. وأهل السنة في الإسلام، كأهل الإسلام في الملل، وذلك أن كل أمة غير المسلمين فهم ضالون، وإنما يضلهم علماؤهم؛ فعلماؤهم شرارهم، والمسلمون على هدى، وإنما يتبين الهدى بعلمائهم، فعلماؤهم خيارهم، وكذلك أهل السنة، أئمتهم خيار الأمة، وأئمة أهل البدع أضر على الأمة من أهل الذنوب، ولهذا أمر النبي صلىالله عليه وسلم بقتل الخوارج، ونهى عن قتال الولاة الظلمة؛ وأولئك لهمنهمة في العلم والعبادة، فصار يعرض لهم من الوساوس التي تضلهم وهم يظنونها هدي، فيطيعونها ما لا يعرض لغيرهم، ومن سلم من ذلك منهم كان من أئمة المتقين مصابيح الهدى، وينابيع العلم؛ كما قال ابن مسعود لأصحابه: كونوا ينابيع العلم، مصابيح الحكمة، سرج الليل، جدد القلوب، أحلاس البيوت، خلقان الثياب، تعرفون في أهل السماء، وتخفون على أهل الأرض. فصل ومما ينبغي أن يعلم: أن الألفاظ الموجودة في القرآن والحديث، إذا عرف تفسيرها وما أريد بها من جهة النبي صلى الله عليه وسلم لم يحتج في ذلك إلى الاستدلال بأقوال أهل اللغة ولا غيرهم؛ ولهذا قال الفقهاء: [الأسماء ثلاثة أنواع] نوع يعرف حده بالشرع؛ كالصلاة والزكاة. ونوع يعرف حده باللغة؛ كالشمس والقمر. ونوع يعرف حده بالعرف كلفظ القبض، ولفظ المعروف في قوله: {وعاشروهن بالمعروف} [النساء: 19] ، ونحو ذلك. وروي عن ابن عباس أنه قال: تفسير القرآن على أربعة أوجه: تفسير تعرفه العرب من كلامها، وتفسير لا يعذر أحد بجهالته، وتفسير يعلمه العلماء، وتفسير لا يعلمه إلا الله، من ادعي علمه فهو كاذب. فاسم الصلاة والزكاة والصيام والحج ونحو ذلك، قد بين الرسول صلى الله عليه وسلم ما يراد بها في كلام الله ورسوله، وكذلك لفظ الخمر وغيرها، ومن هناك يعرف معناها، فلو أراد أحد أن يفسرها بغير ما بينه النبي صلى الله عليه وسلم لم يقبل منه، وأما الكلام في اشتقاقها ووجه دلالتها، فذاك من جنس علم البيان. وتعليل الأحكام، هو زيادة في العلم، وبيان حكمة ألفاظ القرآن؛ لكن معرفة المراد بها لا يتوقف على هذا. واسم الإيمان والإسلام والنفاق والكفر، هي أعظم من هذا كله، فالنبي صلى الله عليه وسلم قد بين المراد بهذه الألفاظ بيانا لا يحتاج معه إلى الاستدلال على ذلك بالاشتقاق وشواهد استعمال العرب ونحو ذلك؛ فلهذا يجب الرجوع في مسميات هذه الأسماء إلى بيان الله ورسوله، فإنه شاف كاف، بل معاني هذه الأسماء معلومة من حيث الجملة للخاصة والعامة، بل كل من تأمل ما تقوله الخوارج والمرجئة في معنى الإيمان، علم بالاضطرار أنه مخالف للرسول، ويعلم بالاضطرار أن طاعة الله ورسوله من تمام الإيمان، وأنه لم يكن يجعل كل من أذنب ذنبا كافرا، ويعلم أنه لو قدر أن قوما قالوا للنبي صلى الله عليه وسلم: نحن نؤمن بما جئتنا به بقلوبنا من غير شك، ونقر بألسنتنا بالشهادتين، إلا أنا لا نطيعك في شيء مما أمرت به ونهيت عنه، فلا نصلي ولا نصوم ولا نحج، ولا نصدق الحديث، ولا نؤدي الأمانة، ولا نفي بالعهد، ولا نصل الرحم، ولا نفعل شيئا من الخير الذي أمرت به، ونشرب الخمر؛ وننكح ذوات المحارم بالزنا الظاهر، ونقتل من قدرنا عليه من أصحابك وأمتك، ونأخذ أموالهم، بل نقتلك أيضا ونقاتلك مع أعدائك، هل كان يتوهم عاقل أن النبي صلى الله عليه وسلم يقول لهم: أنتم مؤمنون كاملو الإيمان، وأنتم من أهل شفاعتي يوم القيامة، ويرجى لكم ألا يدخل أحد منكم النار، بل كل مسلم يعلم بالاضطرار أنه يقول لهم: أنتم أكفر الناس بما جئت به، ويضرب رقابهم إن لم يتوبوا من ذلك.</t>
  </si>
  <si>
    <t xml:space="preserve">Yüksek (büyük ihtimal düzenlenmiş tekrar)</t>
  </si>
  <si>
    <t xml:space="preserve">MF-V07-S06-P004</t>
  </si>
  <si>
    <t xml:space="preserve">IMN-S00-P069</t>
  </si>
  <si>
    <t xml:space="preserve">S: V07P195–V07P258
T: V01P007–V01P359</t>
  </si>
  <si>
    <t xml:space="preserve">أهل الإرجاء بآية أحج من قوله: {وما أمروا إلا ليعبدوا الله مخلصين له الدين حنفاء ويقيموا الصلاة ويؤتوا الزكاة وذلك دين القيمة} . وقال الشافعي رضي الله عنه في كتاب " الأم " في (باب النية في الصلاة: يحتج بأن لا تجزئ صلاة إلا بنية بحديث عمر بن الخطاب رضي الله عنه عن النبي صلى الله عليه وسلم " {إنما الأعمال بالنيات} " ثم قال: وكان الإجماع من الصحابة والتابعين من بعدهم ومن أدركناهم يقولون: الإيمان قول وعمل ونية لا يجزئ واحد من الثلاث إلا بالآخر. وقال حنبل: حدثنا الحميدي قال: وأخبرت أن ناسا يقولون: من أقر بالصلاة والزكاة والصوم والحج ولم يفعل من ذلك شيئا حتى يموت ويصلي مستدبر القبلة حتى يموت؛ فهو مؤمن ما لم يكن جاحدا إذا علم أن تركه ذلك فيه إيمانه إذا كان مقرا بالفرائض واستقبال القبلة فقلت: هذا الكفر الصراح وخلاف كتاب الله وسنة رسوله وعلماء المسلمين. قال الله تعالى: {وما أمروا إلا ليعبدوا الله مخلصين له الدين} الآية. وقال حنبل: سمعت أبا عبد الله أحمد بن حنبل يقول: من قال هذا فقد كفر بالله ورد على أمره وعلى الرسول ما جاء به عن الله. قلت: وأما احتجاجهم بقوله للأمة " {أعتقها فإنها مؤمنة} " فهو من حججهم المشهورة وبه احتج ابن كلاب وكان يقول: الإيمان هو التصديق والقول جميعا فكان قوله أقرب من قول جهم وأتباعه وهذا لا حجة فيه؛ لأن الإيمان الظاهر الذي تجري عليه الأحكام في الدنيا لا يستلزم الإيمان في الباطن الذي يكون صاحبه من أهل السعادة في الآخرة فإن المنافقين الذين قالوا: {آمنا بالله وباليوم الآخر وما هم بمؤمنين} هم في الظاهر مؤمنون يصلون مع الناس. ويصومون ويحجون ويغزون والمسلمون يناكحونهم ويوارثونهم كما كان المنافقون على عهد رسول الله صلى الله عليه وسلم ولم يحكم النبي صلى الله عليه وسلم في المنافقين بحكم الكفار المظهرين للكفر لا في مناكحتهم ولا موارثتهم ولا نحو ذلك؛ بل لما مات عبد الله بن أبي ابن سلول - وهو من أشهر الناس بالنفاق - ورثه ابنه عبد الله وهو من خيار المؤمنين وكذلك سائر من كان يموت منهم يرثه ورثته المؤمنون؛ وإذا مات لأحدهم. وارث ورثوه مع المسلمين. وقد تنازع الفقهاء في المنافق الزنديق الذي يكتم زندقته هل يرث ويورث؟ على قولين والصحيح أنه يرث ويورث وإن علم في الباطن أنه منافق كما كان الصحابة على عهد النبي صلى الله عليه وسلم لأن الميراث مبناه على الموالاة الظاهرة لا على المحبة التي في القلوب فإنه لو علق بذلك لم تمكن معرفته والحكمة إذا كانت خفية أو منتشرة علق الحكم بمظنتها وهو ما أظهره من موالاة المسلمين؛ فقول النبي صلى الله عليه وسلم {لا يرث المسلم الكافر ولا الكافر المسلم} " لم يدخل فيه المنافقون وإن كانوا في الآخرة في الدرك الأسفل من النار؛ بل كانوا يورثون ويرثون؛ وكذلك كانوا في الحقوق والحدود كسائر المسلمين وقد أخبر الله عنهم أنهم يصلون ويزكون ومع هذا لم يقبل ذلك منهم فقال: {وما منعهم أن تقبل منهم نفقاتهم إلا أنهم كفروا بالله وبرسوله ولا يأتون الصلاة إلا وهم كسالى ولا ينفقون إلا وهم كارهون} وقال {إن المنافقين يخادعون الله وهو خادعهم وإذا قاموا إلى الصلاة قاموا كسالى يراءون الناس ولا يذكرون الله إلا قليلا} . وفي " صحيح مسلم " عن النبي صلى الله عليه وسلم قال: " {تلك صلاة المنافق تلك صلاة المنافق تلك صلاة المنافق يرقب الشمس حتى إذا كانت بين قرني شيطان قام فنقر أربعا لا يذكر الله فيها إلا قليلا} " وكانوا يخرجون مع النبي صلى الله عليه وسلم في المغازي كما خرج ابن أبي في غزوة بني المصطلق وقال فيها: {لئن رجعنا إلى المدينة ليخرجن الأعز منها الأذل} . " وفي الصحيحين " عن {زيد بن أرقم قال: خرجنا مع النبي صلى الله عليه وسلم في سفر أصاب الناس فيها شدة؛ فقال عبد الله بن أبي لأصحابه: لا تنفقوا على من عند رسول الله حتى ينفضوا من حوله. وقال: {لئن رجعنا إلى المدينة ليخرجن الأعز منها الأذل} فأتيت النبي صلى الله عليه وسلم فأخبرته فأرسل إلى عبد الله بن أبي؛ فسأله فاجتهد يمينه ما فعل وقالوا: كذب زيد يا رسول الله فوقع في نفسي مما قالوا شدة حتى أنزل الله تصديقي في {إذا جاءك المنافقون} فدعاهم النبي صلى الله عليه وسلم ليستغفر لهم فلووا رءوسهم. وفي غزوة تبوك استنفرهم النبي صلى الله عليه وسلم كما استنفر غيرهم فخرج بعضهم معه وبعضهم تخلفوا وكان في الذين خرجوا معه من هم بقتله في الطريق هموا بحل حزام</t>
  </si>
  <si>
    <t xml:space="preserve">أخذ الشافعي هذه الحجة عن عطاء. فروى ابن أبي حاتم في مناقب الشافعي: حدثنا أبي، حدثنا ميمون، حدثنا أبو عثمان بن الشافعي، سمعت أبي يقول ليلة للحميدي: ما يحتج عليهم يعني أهل الإرجاء بآية أحج من قوله: {وما أمروا إلا ليعبدوا الله مخلصين له الدين حنفاء ويقيموا الصلاة ويؤتوا الزكاة وذلك دين القيمة} [البينة: 5] . وقال الشافعي رضي الله عنه في كتاب [الأم] في [باب النية في الصلاة] : يحتج بألا تجزئ صلاة إلا بنية بحديث عمر بن الخطاب رضي الله عنه عن النبي صلى الله عليه وسلم: " إنما الأعمال بالنيات " ثم قال: وكان الإجماع من الصحابة، والتابعين من بعدهم، ومن أدركناهم يقولون: الإيمان قول وعمل ونية، لا يجزئ واحد من الثلاث إلا بالآخر. وقال حنبل: حدثنا الحميدي قال: وأخبرت أن ناسا يقولون: من أقر بالصلاة والزكاة والصوم والحج ولم يفعل من ذلك شيئا حتى يموت، ويصلي مستدبر القبلة حتى يموت، فهو مؤمن ما لم يكن جاحدا إذا علم أن تركه ذلك فيه إيمانه إذا كان مقرا بالفرائض واستقبال القبلة، فقلت: هذا الكفر الصراح، وخلاف كتاب الله وسنة رسوله وعلماء المسلمين، قال الله تعالى: {وما أمروا إلا ليعبدوا الله مخلصين له الدين} الآية. وقال حنبل: سمعت أبا عبد الله أحمد بن حنبل يقول: من قال هذا فقد كفر بالله، ورد على أمره وعلى الرسول ما جاء به عن الله. قلت: وأما احتجاجهم بقوله للأمة: " اعتقها فإنها مؤمنة " فهو من حججهم المشهورة، وبه احتج ابن كلاب، وكان يقول: الإيمان هو التصديق والقول جميعا، فكان قوله أقرب من قول جهم وأتباعه، وهذا لا حجة فيه؛ لأن الإيمان الظاهر الذي تجري عليه الأحكام في الدنيا لا يستلزم الإيمان في الباطن الذي يكون صاحبه من أهل السعادة في الآخرة، فإن المنافقين الذين قالوا: {آمنا بالله وباليوم الآخر وما هم بمؤمنين} [البقرة: 8] هم في الظاهر مؤمنون يصلون مع الناس، ويصومون ويحجون ويغزون، والمسلمون يناكحونهم ويوارثونهم كما كان المنافقون في عهد رسول الله صلىالله عليه وسلم، ولم يحكم النبي صلىالله عليه وسلم في المنافقين بحكم الكفار المظهرين للكفر، لا في مناكحتهم ولا موارثتهم ولا نحو ذلك، بل لما مات عبد الله بن أبي بن سلول وهو من أشهر الناس بالنفاق ورثه ابنه عبد الله وهو من خيار المؤمنين، وكذلك سائر من كان يموت منهم يرثه ورثته المؤمنون، وإذا مات لأحدهم وارث ورثوه مع المسلمين. وقد تنازع الفقهاء في المنافق الزنديق الذي يكتم زندقته، هل يرث ويورث؟ على قولين، والصحيح: أنه يرث ويورث وإن علم في الباطن أنه منافق، كما كان الصحابة على عهد النبي صلىالله عليه وسلم؛ لأن الميراث مبناه على الموالاة الظاهرة، لا على المحبة التي في القلوب، فإنه لو علق بذلك لم تمكن معرفته، والحكمة إذا كانت خفية أو منتشرة علق الحكم بمظنتها، وهو ما أظهره من موالاة المسلمين فقول النبي صلىالله عليه وسلم: " لا يرث المسلم الكافر ولا الكافر المسلم " لم يدخل فيه المنافقون وإن كانوا في الآخرة في الدرك الأسفل من النار، بل كانوا يورثون ويرثون، وكذلك كانوا في الحقوق والحدود كسائر المسلمين، وقد أخبر الله عنهم أنهم يصلون ويزكون ومع هذا لم يقبل ذلك منهم فقال: {وما منعهم أن تقبل منهم نفقاتهم إلا أنهم كفروا بالله وبرسوله ولا يأتون الصلاة إلا وهم كسالى ولا ينفقون إلا وهم كارهون} [التوبة: 54] ، وقال: {إن المنافقين يخادعون الله وهو خادعهم وإذا قاموا إلى الصلاة قاموا كسالى يرآؤون الناس ولا يذكرون الله إلا قليلا} [النساء: 142] . وفي صحيح مسلم عن النبي صلى الله عليه وسلم قال: " تلك صلاة المنافق، تلك صلاة المنافق، تلك صلاة المنافق، يرقب الشمس حتى إذا كانت بين قرني شيطان قام فنقر أربعا لا يذكر الله فيها إلا قليلا "، وكانوا يخرجون مع النبي صلىالله عليه وسلم في المغازي، كما خرج ابن أبي في غزوة بني المصطلق، وقال فيها: {لئن رجعنا إلى المدينة ليخرجن الأعز منها الأذل} [المنافقون: 8] . وفي الصحيحين عن زيد بن أرقم قال: خرجنا مع النبي صلى الله عليه وسلم في سفر أصاب الناس فيها شدة، فقال عبد الله بن أبي لأصحابه: لا تنفقوا على من عند رسول الله حتى ينفضوا من حوله، وقال: {لئن رجعنا إلى المدينة ليخرجن الأعز منها الأذل} ، فأتيت النبي صلى الله عليه وسلم فأخبرته، فأرسل إلى عبد الله بن أبي، فسأله فاجتهد يمينه ما فعل، وقالوا: كذب زيد يا رسول الله، فوقع في نفسي مما قالوا شدة، حتى أنزل الله تصديقي في {إذا جاءك المنافقون} ، فدعاهم النبي صلى الله عليه وسلم ليستغفر لهم، فلووا رؤوسهم. وفي غزوة تبوك استنفرهم النبي صلى الله عليه وسلم كما استنفر غيرهم، فخرج بعضهم معه وبعضهم تخلفوا، وكان في الذين خرجوا معه من هم بقتله في الطريق، هموا بحل حزام ناقته ليقع في واد هناك، فجاءه الوحي، فأسر إلى حذيفة أسماءهم، ولذلك يقال: هو صاحب السر الذي لا يعلمه غيره، كما ثبت ذلك في الصحيح. ومع هذا ففي الظاهر تجري عليهم أحكام أهل الإيمان.</t>
  </si>
  <si>
    <t xml:space="preserve">MF-V07-S11-P007</t>
  </si>
  <si>
    <t xml:space="preserve">IMN-S00-P152</t>
  </si>
  <si>
    <t xml:space="preserve">S: V07P429–V07P459
T: V01P007–V01P359</t>
  </si>
  <si>
    <t xml:space="preserve">شك مما يعلمه الإنسان من نفسه وإلا فهو يشك في تكميل العمل الذي خاف أن لا يكون كمله؛ فيخاف من نقصه ولا يشك في أصله. قال الخلال: وأخبرني محمد بن أبي هارون: أن حبيش بن سندي حدثهم في هذه المسألة. قال أبو عبد الله {قول النبي صلى الله عليه وسلم حين وقف على المقابر فقال: وإنا إن شاء الله بكم لاحقون} وقد نعيت إليه نفسه وعلم أنه صائر إلى الموت وفي قصة صاحب القبر " وعليه حييت وعليه مت وعليه تبعث إن شاء الله " وفي {قول النبي صلى الله عليه وسلم إني اختبأت دعوتي وهي نائلة إن شاء الله من لا يشرك بالله شيئا} {وفي مسألة الرجل النبي صلى الله عليه وسلم أحدنا يصبح جنبا يصوم؟ فقال: إني أفعل ذلك ثم أصوم فقال: إنك لست مثلنا أنت قد غفر الله لك ما تقدم من ذنبك وما تأخر فقال: والله إني لأرجو أن أكون أخشاكم لله} . وهذا كثير وأشباهه على اليقين. قال: ودخل عليه شيخ فسأله عن الإيمان فقال له: قول وعمل يزيد وينقص. فقال له: أقول: مؤمن إن شاء الله؟ قال: نعم. فقال له: إنهم يقولون لي إنك شاك؛ قال: بئس ما قالوا ثم خرج فقال: ردوه فقال: أليس يقولون: الإيمان قول وعمل يزيد وينقص؟ قال: نعم قال: هؤلاء يستثنون. قال له: كيف يا أبا عبد الله؟ قال: قل لهم: زعمتم أن الإيمان قول وعمل فالقول قد أتيتم به والعمل لم تأتوا به فهذا الاستثناء لهذا العمل قيل له يستثنى في الإيمان؟ قال: نعم أقول: أنا مؤمن إن شاء الله أستثني على اليقين لا على الشك؛ ثم قال: قال الله: {لتدخلن المسجد الحرام إن شاء الله آمنين} فقد أخبر الله تعالى أنهم داخلون المسجد الحرام. فقد بين أحمد في كلامه أنه يستثني مع تيقنه بما هو الآن موجود فيه يقوله بلسانه وقلبه لا يشك في ذلك ويستثني لكون العمل من الإيمان؛ وهو لا يتيقن أنه أكمله بل يشك في ذلك فنفى الشك وأثبت اليقين فيما يتيقنه من نفسه وأثبت الشك فيما لا يعلم وجوده وبين أن الاستثناء مستحب لهذا الثاني الذي لا يعلم هل أتى به أم لا وهو جائز أيضا لما يتيقنه فلو استثنى لنفس الموجود في قلبه جاز كقول النبي صلى الله عليه وسلم {والله إني لأرجو أن أكون أخشاكم لله} وهذا أمر موجود في الحال ليس بمستقبل وهو كونه أخشانا؛ فإنه لا يرجو أن يصير أخشانا لله؛ بل هو يرجو أن يكون حين هذا القول أخشانا لله. كما يرجو المؤمن إذا عمل عملا أن يكون الله تقبله منه ويخاف أن لا يكون تقبله منه. كما قال تعالى: {والذين يؤتون ما آتوا وقلوبهم وجلة أنهم إلى ربهم راجعون} وقال النبي صلى الله عليه وسلم {هو الرجل يصلي ويصوم ويتصدق ويخاف أن لا يقبل منه} والقبول هو أمر حاضر أو ماض وهو يرجوه ويخافه وذلك أن ما له عاقبة مستقبلة محمودة أو مذمومة والإنسان يجوز وجوده وعدمه. يقال: إنه يرجوه وإنه يخافه. فتعلق الرجاء والخوف بالحاضر والماضي لأن عاقبته المطلوبة والمكروهة مستقبلة. فهو يرجو أن يكون الله تقبل عمله فيثيبه عليه فيرحمه في المستقبل. ويخاف أن لا يكون تقبله فيحرم ثوابه. كما يخاف أن يكون الله قد سخط عليه في معصيته فيعاقبه عليها. وإذا كان الإنسان يسعى فيما يطلبه كتاجر أو بريد أرسله في حاجته يقضيها في بعض الأوقات فإذا مضى ذلك الوقت يقول أرجو أن يكون فلان قد قضى ذلك الأمر وقضاؤه ماض لكن ما يحصل لهذا من الفرح والسرور وغير ذلك من مقاصده مستقبل. ويقول الإنسان في الوقت الذي جرت عادة الحاج بدخولهم إلى مكة: أرجو أن يكونوا دخلوا ويقول في سرية بعثت إلى الكفار: نرجو أن يكون الله قد نصر المؤمنين وغنمهم ويقال في نيل مصر عند وقت ارتفاعه: نرجو أن يكون قد صعد النيل كما يقول الحاضر في مصر مثل هذا الوقت: نرجو أن يكون النيل في هذا العام نيلا مرتفعا ويقال لمن له أرض يحب أن تمطر إذا مطرت بعض النواحي أرجو أن يكون المطر عاما وأرجو أن تكون قد مطرت الأرض الفلانية وذلك لأن المرجو هو ما يفرح بوجوده ويسره فالمكروه ما يتألم بوجوده. وهذا يتعلق بالعلم والعلم بذلك مستقبل فإذا علم أن المسلمين انتصروا والحاج قد دخلوا أو المطر قد نزل فرح بذلك وحصل به مقاصد أخر له وإذا كان الأمر بخلاف ذلك لم يحصل ذلك المحبوب المطلوب فيقول: أرجو وأخاف لأن المحبوب والمكروه متعلق بالعلم بذلك وهو مستقبل وكذلك المطلوب بالإيمان من السعادة والنجاة هو أمر مستقبل فيستثنى في الحاضر بذلك لأن المطلوب به مستقبل ثم كل مطلوب مستقبل تعلق بمشيئة الله</t>
  </si>
  <si>
    <t xml:space="preserve">قال: ودخل عليه شيخ فسأله عن الإيمان، فقال له: قول وعمل، يزيد وينقص، فقال له: أقول: مؤمن إن شاء الله، قال: نعم. فقال له: إنهم يقولون لي: إنك شاك، قال: بئس ما قالوا، ثم خرج، فقال: ردوه، فقال: أليس يقولون: الإيمان قول وعمل يزيد وينقص؟ قال: نعم، قال: هؤلاء يستثنون. قال له: كيف يا أبا عبد الله؟ قال: قل لهم: زعمتم أن الإيمان قول وعمل، فالقول قد أتيتم به، والعمل لم تأتوا به، فهذا الاستثناء لهذا العمل، قيل له: يستثنى في الإيمان؟ قال: نعم، أقول: أنا مؤمن إن شاء الله، أستثنى على اليقين لا على الشك، ثم قال: قال الله: {لتدخلن المسجد الحرام إن شاء الله آمنين} ، فقد أخبر الله تعالى أنهم داخلون المسجد الحرام. فقد بين أحمد في كلامه أنه يستثنى مع تيقنه بما هو الآن موجود فيه، يقوله بلسانه وقلبه، لا يشك في ذلك، ويستثنى لكون العمل من الإيمان، وهو لا يتيقن أنه أكمله بل يشك في ذلك، فنفى الشك وأثبت اليقين، فيما يتيقنه من نفسه، وأثبت الشك فيما لا يعلم وجوده، وبين أن الاستثناء مستحب لهذا الثاني الذي لا يعلم هل أتى به أم لا، وهو جائز أيضا لما يتيقنه، فلو استثني لنفس الموجود في قلبه جاز، كقول النبي صلى الله عليه وسلم: " والله إني لأرجو أن أكون أخشاكم لله " وهذا أمر موجود في الحال ليس بمستقبل، وهو كونه أخشانا، فإنه لا يرجو أن يصير أخشانا لله، بل هو يرجو أن يكون حين هذا القول أخشانا لله. كما يرجو المؤمن إذا عمل عملا أن يكون الله تقبله منه ويخاف ألا يكون تقبله منه، كما قال تعالى {والذين يؤتون ما آتوا وقلوبهم وجلة أنهم إلى ربهم راجعون} [المؤمنون: 60] ، وقال النبي صلى الله عليه وسلم: " هو الرجل يصلي ويصوم ويتصدق ويخاف ألا يقبل منه " والقبول هو أمر حاضر أو ماض وهو يرجوه ويخافه، وذلك أن ماله عاقبة مستقبلة محمودة أو مذمومة، والإنسان يجوز وجوده وعدمه. يقال: إنه يرجوه وأنه يخافه. فتعلق الرجاء والخوف بالحاضر والماضى؛ لأن عاقبته المطلوبة والمكروهة مستقبلة. فهو يرجو أن يكون الله تقبل عمله فيثيبه عليه فيرحمه في المستقبل. ويخاف ألا يكون تقبله فيحرم ثوابه، كما يخاف أن يكون الله قد سخط عليه في معصيته فيعاقبه عليها. وإذا كان الإنسان يسعى فيما يطلبه كتاجر أو بريد أرسله في حاجته يقضيها في بعض الأوقات، فإذا مضى ذلك الوقت يقول: أرجو أن يكون فلان قد قضى ذلك الأمر، وقضاؤه ماض، لكن ما يحصل لهذا من الفرح والسرور وغير ذلك من مقاصده مستقبل، ويقول الإنسان في الوقت الذي جرت عادة الحاج بدخولهم إلى مكة: أرجو أن يكونوا دخلوا، ويقول في سرية بعثت إلى الكفار: نرجو أن يكون الله قد نصر المؤمنين وغنمهم، ويقال في نيل مصر عند وقت ارتفاعه: نرجو أن يكون قد صعد النيل، كما يقول الحاضر في مصر مثل هذا الوقت: نرجو أن يكون النيل في هذا العام نيلا مرتفعا، ويقال لمن له أرض يحب أن تمطر، إذا مطرت بعض النواحي: أرجو أن يكون المطر عاما، وأرجو أن تكون قد مطرت الأرض الفلانية، وذلك لأن المرجو هو ما يفرح بوجوده ويسره، فالمكروه ما يتألم بوجوده. وهذا يتعلق بالعلم، والعلم بذلك مستقبل، فإذا علم أن المسلمين انتصروا، والحاج قد دخلوا، أو المطر قد نزل، فرح بذلك وحصل به مقاصد أخر له، وإذا كان الأمر بخلاف ذلك لم يحصل ذلك المحبوب المطلوب، فيقول: أرجو وأخاف؛ لأن المحبوب والمكروه ما يتألم بوجوده. وهذا متعلق بالعلم بذلك وهو مستقبل، وكذلك المطلوب بالإيمان من السعادة والنجاة، هو أمر مستقبل، فيستثنى في الحاضر بذلك؛ لأن المطلوب به مستقبل، ثم كل مطلوب مستقبل، تعلق بمشيئة الله وإن جزم بوجوده؛ لأنه لا يكون مستقبل إلا بمشيئة الله. فقولنا: يكون هذا إن شاء الله، حق، فإنه لا يكون إلا إن شاء الله والشك واللفظ ليس فيه إلا التعليق، وليس من ضرورة التعليق الشك بل هذا بحسب علم المتكلم، فتارة يكون شاكا وتارة لا يكون شاكا، فلما كان الشك يصحبها كثيرا لعدم علم الإنسان بالعواقب، ظن الظان أن الشك داخل في معناها،</t>
  </si>
  <si>
    <t xml:space="preserve">MF-V07-S00-P011</t>
  </si>
  <si>
    <t xml:space="preserve">IMN-S00-P012</t>
  </si>
  <si>
    <t xml:space="preserve">S: V07P005–V07P077
T: V01P007–V01P359</t>
  </si>
  <si>
    <t xml:space="preserve">وكذلك قوله تعالى. {واعتصموا بحبل الله جميعا ولا تفرقوا} قيل: حبل الله هو دين الإسلام وقيل: القرآن وقيل: عهده وقيل: طاعته وأمره وقيل جماعة المسلمين؛ وكل هذا حق. وكذلك إذا قلنا: الكتاب والسنة والإجماع فمدلول الثلاثة واحد فإن كل ما في الكتاب فالرسول صلى الله عليه وسلم موافق له والأمة مجمعة عليه من حيث الجملة فليس في المؤمنين إلا من يوجب اتباع الكتاب وكذلك كل ما سنه الرسول صلى الله عليه وسلم فالقرآن يأمر باتباعه فيه والمؤمنون مجمعون على ذلك. وكذلك كل ما أجمع عليه المسلمون فإنه لا يكون إلا حقا موافقا لما في الكتاب والسنة؛ لكن المسلمون يتلقون دينهم كله عن الرسول صلى الله عليه وسلم وأما الرسول صلى الله عليه وسلم فينزل عليه وحي القرآن ووحي آخر هو الحكمة كما قال صلى الله عليه وسلم {ألا إني أوتيت الكتاب ومثله معه} . وقال حسان بن عطية: {كان جبريل ينزل على النبي صلى الله عليه وسلم بالسنة فيعلمه إياها كما يعلمه القرآن.} فليس كل ما جاءت به السنة يجب أن يكون مفسرا في القرآن؛ بخلاف ما يقوله أهل الإجماع؛ فإنه لا بد أن يدل عليه الكتاب والسنة فإن الرسول صلى الله عليه وسلم هو الواسطة بينهم وبين الله في أمره ونهيه وتحليله وتحريمه؛ والمقصود ذكر الإيمان. ومن هذا الباب قول النبي صلى الله عليه وسلم {لا يبغض الأنصار رجل يؤمن بالله واليوم الآخر} . وقوله: {آية الإيمان حب الأنصار وآية النفاق بغض الأنصار} . فإن من علم ما قامت به الأنصار من نصر الله ورسوله من أول الأمر وكان محبا لله ولرسوله؛ أحبهم قطعا فيكون حبه لهم علامة الإيمان الذي في قلبه ومن أبغضهم لم يكن في قلبه الإيمان الذي أوجبه الله عليه. وكذلك من لم يكن في قلبه بغض ما يبغضه الله ورسوله من المنكر الذي حرمه الله ورسوله من الكفر والفسوق والعصيان؛ لم يكن في قلبه الإيمان الذي أوجبه الله عليه فإن لم يكن مبغضا لشيء من المحرمات أصلا؛ لم يكن معه إيمان أصلا كما سنبينه إن شاء الله تعالى. وكذلك من لا يحب لأخيه المؤمن ما يحب لنفسه؛ لم يكن معه ما أوجبه الله عليه من الإيمان فحيث نفى الله الإيمان عن شخص؛ فلا يكون إلا لنقص ما يجب عليه من الإيمان ويكون من المعرضين للوعيد ليس من المستحقين للوعد المطلق. وكذلك قوله صلى الله عليه وسلم {من غشنا فليس منا ومن حمل علينا السلاح فليس منا} كله من هذا الباب لا يقوله إلا لمن ترك ما أوجب الله عليه أو فعل ما حرمه الله ورسوله؛ فيكون قد ترك من الإيمان المفروض عليه ما ينفي عنه الاسم لأجله فلا يكون من المؤمنين المستحقين للوعد السالمين من الوعيد. وكذلك قوله تعالى {ويقولون آمنا بالله وبالرسول وأطعنا ثم يتولى فريق منهم من بعد ذلك وما أولئك بالمؤمنين} {وإذا دعوا إلى الله ورسوله ليحكم بينهم إذا فريق منهم معرضون} {وإن يكن لهم الحق يأتوا إليه مذعنين} {أفي قلوبهم مرض أم ارتابوا أم يخافون أن يحيف الله عليهم ورسوله بل أولئك هم الظالمون} {إنما كان قول المؤمنين إذا دعوا إلى الله ورسوله ليحكم بينهم أن يقولوا سمعنا وأطعنا وأولئك هم المفلحون} . فهذا حكم اسم الإيمان إذا أطلق في كلام الله ورسوله؛ فإنه يتناول فعل الواجبات وترك المحرمات ومن نفى الله ورسوله عنه الإيمان؛ فلا بد أن يكون قد ترك واجبا أو فعل محرما فلا يدخل في الاسم الذي يستحق أهله الوعد دون الوعيد؛ بل يكون من أهل الوعيد. وكذلك قوله تعالى {حبب إليكم الإيمان وزينه في قلوبكم وكره إليكم الكفر والفسوق والعصيان أولئك هم الراشدون} . قال محمد بن نصر المروزي: لما كانت المعاصي بعضها كفر وبعضها ليس بكفر فرق بينها فجعلها ثلاثة أنواع: نوع منها كفر ونوع منها فسوق وليس بكفر ونوع عصيان وليس بكفر ولا فسوق. وأخبر أنه كرهها كلها إلى المؤمنين. ولما كانت الطاعات كلها داخلة في الإيمان وليس فيها شيء خارج عنه لم يفرق بينها فيقول: حبب إليكم الإيمان والفرائض وسائر الطاعات؛ بل أجمل ذلك فقال: {حبب إليكم الإيمان} . فدخل في ذلك جميع الطاعات؛ لأنه قد حبب إلى المؤمنين الصلاة والزكاة وسائر الطاعات حب تدين لأن الله أخبر: أنه حبب ذلك إليهم وزينه في قلوبهم لقوله: {حبب إليكم الإيمان} ويكرهون جميع المعاصي؛ الكفر منها والفسوق وسائر المعاصي كراهة تدين لأن الله أخبر: أنه كره ذلك إليهم. ومن ذلك قول رسول الله صلى الله عليه وسلم:</t>
  </si>
  <si>
    <t xml:space="preserve">وكذلك قوله تعالى: {واعتصموا بحبل الله جميعا ولا تفرقوا} [آل عمران: 103] ، قيل: حبل الله هو دين الإسلام. وقيل: القرآن. وقيل: عهده. وقيل: طاعته وأمره. وقيل: جماعة المسلمين، وكل هذا حق. وكذلك إذا قلنا: الكتاب، والسنة، والإجماع، فمدلول الثلاثة واحد، فإن كل ما في الكتاب فالرسول موافق له، والأمة مجمعة عليه من حيث الجملة، فليس في المؤمنين إلا من يوجب اتباع الكتاب، وكذلك كل ما سنه الرسول صلىالله عليه وسلم فالقرآن يأمر باتباعه فيه، والمؤمنون مجمعون على ذلك، وكذلك كل ما أجمع عليه المسلمون، فإنه لا يكون إلا حقا موافقا لما في الكتاب والسنة، لكن المسلمون يتلقون دينهم كله عن الرسول، وأما الرسول فينزل عليه وحي القرآن، ووحي آخر هو الحكمة، كما قال صلى الله عليه وسلم: " ألا إني أوتيت الكتاب ومثله معه ". وقال حسان بن عطية: كان جبريل ينزل على النبي صلىالله عليه وسلم بالسنة فيعلمه إياها كما يعلمه القرآن. فليس كل ما جاءت به السنة يجب أن يكون مفسرا في القرآن، بخلاف ما يقوله أهل الإجماع، فإنه لابد أن يدل عليه الكتاب والسنة، فإن الرسول هو الواسطة بينهم وبين الله في أمره ونهيه، وتحليله وتحريمه، والمقصود ذكر الإيمان. ومن هذا الباب قول النبي صلى الله عليه وسلم: " لا يبغض الأنصار رجل يؤمن بالله واليوم الآخر ". وقوله: " آية الإيمان حب الأنصار، وآية النفاق بغض الأنصار ". فإن من علم ما قامت به الأنصار من نصر الله ورسوله من أول الأمر. وكان محبا لله ولرسوله، أحبهم قطعا، فيكون حبه لهم علامة الإيمان الذي في قلبه، ومن أبغضهم لم يكن في قلبه الإيمان الذي أوجبه الله عليه. وكذلك من لم يكن في قلبه بغض ما يبغضه الله ورسوله من المنكر الذي حرمه الله ورسوله من الكفر والفسوق والعصيان، لم يكن في قلبه الإيمان الذي أوجبه الله عليه، فإن لم يكن مبغضا لشيء من المحرمات أصلا، لم يكن معه إيمان أصلا _ كما سنبينه إن شاء الله تعالى _ وكذلك من لا يحب لأخيه المؤمن ما يحب لنفسه، لم يكن معه ما أوجبه الله عليه من الإيمان، فحيث نفى الله الإيمان عن شخص، فلا يكون إلا لنقص ما يجب عليه من الإيمان، ويكون من المعرضين للوعيد، ليس من المستحقين للوعد المطلق. وكذلك قوله صلى الله عليه وسلم: " من غشنا فليس منا، ومن حمل علينا السلاح فليس منا "، كله من هذا الباب، لا يقوله إلا لمن ترك ما أوجب الله عليه، أو فعل ما حرمه الله ورسوله، فيكون قد ترك من الإيمان المفروض عليه ما ينفي عنه الاسم لأجله، فلا يكون من المؤمنين المستحقين للوعد، السالمين من الوعيد. وكذلك قوله تعالى: {ويقولون آمنا بالله وبالرسول وأطعنا ثم يتولى فريق منهم من بعد ذلك وما أولئك بالمؤمنين وإذا دعوا إلى الله ورسوله ليحكم بينهم إذا فريق منهم معرضون وإن يكن لهم الحق يأتوا إليه مذعنين أفي قلوبهم مرض أم ارتابوا أم يخافون أن يحيف الله عليهم ورسوله بل أولئك هم الظالمون إنما كان قول المؤمنين إذا دعوا إلى الله ورسوله ليحكم بينهم أن يقولوا سمعنا وأطعنا وأولئك هم المفلحون} [النور: 47: 51] . فهذا حكم اسم الإيمان إذا أطلق في كلام الله ورسوله، فإنه يتناول فعل الواجبات، وترك المحرمات، ومن نفى الله ورسوله عنه الإيمان، فلابد أن يكون قد ترك واجبا أو فعل محرما، فلا يدخل في الاسم الذي يستحق أهله الوعد دون الوعيد، بل يكون من أهل الوعيد. وكذلك قوله تعالى: {حبب إليكم الإيمان وزينه في قلوبكم وكره إليكم الكفر والفسوق والعصيان أولئك هم الراشدون} [الحجرات: 7] قال محمد بن نصر المروزي: لما كانت المعاصي بعضها كفر، وبعضها ليس بكفر، فرق بينها، فجعلها ثلاثة أنواع: نوع منها كفر، ونوع منها فسوق وليس بكفر، ونوع عصيان وليس بكفر ولا فسوق، وأخبر أنه كرهها كلها إلى المؤمنين، ولما كانت الطاعات كلها داخلة في الإيمان، وليس فيها شيء خارج عنه، لم يفرق بينها فيقول: حبب إليكم الإيمان والفرائض وسائر الطاعات؛ بل أجمل ذلك فقال: {حبب إليكم الإيمان} . فدخل في ذلك جميع الطاعات؛ لأنه قد حبب إلى المؤمنين الصلاة والزكاة، وسائر الطاعات حب تدين؛ لأن الله أخبر أنه حبب ذلك إليهم، وزينه في قلوبهم؛ لقوله: {حبب إليكم الإيمان} ويكرهون جميع المعاصي؛ الكفر منها والفسوق، وسائر المعاصي، كراهة تدين؛ لأن الله أخبر أنه كره ذلك إليهم. ومن ذلك قول رسول الله صلىالله عليه وسلم: " من سرته حسنته، وساءته سيئته، فهو مؤمن "؛لأن الله حبب إلى المؤمنين الحسنات، وكره إليهم السيئات.</t>
  </si>
  <si>
    <t xml:space="preserve">MF-V07-S09-P008</t>
  </si>
  <si>
    <t xml:space="preserve">IMN-S00-P118</t>
  </si>
  <si>
    <t xml:space="preserve">مؤمنا ومن أتى دون الكبائر نسميه مؤمنا ناقص الإيمان فإن صاحب هذا القول يقول: لما نفى عنه النبي صلى الله عليه وسلم الإيمان نفيته عنه كما نفاه عنه الرسول صلى الله عليه وسلم والرسول لم ينفه إلا عن صاحب كبيرة وإلا فالمؤمن الذي يفعل الصغيرة هي مكفرة عنه بفعله للحسنات واجتنابه للكبائر لكنه ناقص الإيمان عمن اجتنب الصغائر فما أتى بالإيمان الواجب ولكن خلطه بسيئات كفرت عنه بغيرها ونقصت بذلك درجته عمن لم يأت بذلك. وأما الذين نفى عنهم الرسول الإيمان فننفيه كما نفاه الرسول وأولئك وإن كان معهم التصديق وأصل الإيمان فقد تركوا منه ما استحقوا لأجله سلب الإيمان وقد يجتمع في العبد نفاق وإيمان وكفر وإيمان فالإيمان المطلق عند هؤلاء ما كان صاحبه مستحقا للوعد بالجنة. وطوائف " أهل الأهواء " من الخوارج والمعتزلة والجهمية والمرجئة كراميهم وغير كراميهم يقولون: إنه لا يجتمع في العبد إيمان ونفاق ومنهم من يدعي الإجماع على ذلك وقد ذكر أبو الحسن في بعض كتبه الإجماع على ذلك ومن هنا غلطوا فيه وخالفوا فيه الكتاب والسنة وآثار الصحابة والتابعين لهم بإحسان مع مخالفة صريح المعقول؛ بل الخوارج والمعتزلة طردوا هذا الأصل الفاسد وقالوا: لا يجتمع في الشخص الواحد طاعة يستحق بها الثواب ومعصية يستحق بها العقاب ولا يكون الشخص الواحد محمودا من وجه مذموما من وجه ولا محبوبا مدعوا له من وجه مسخوطا ملعونا من وجه ولا يتصور أن الشخص الواحد يدخل الجنة والنار جميعا عندهم بل من دخل إحداهما لم يدخل الأخرى عندهم ولهذا أنكروا خروج أحد من النار أو الشفاعة في أحد من أهل النار. وحكى عن غالية المرجئة أنهم وافقوهم على هذا الأصل لكن هؤلاء قالوا: إن أهل الكبائر يدخلون الجنة ولا يدخلون النار مقابلة لأولئك. وأما أهل السنة والجماعة والصحابة والتابعون لهم بإحسان؛ وسائر طوائف المسلمين من أهل الحديث والفقهاء وأهل الكلام من مرجئة الفقهاء والكرامية والكلابية والأشعرية والشيعة مرجئهم وغير مرجئهم فيقولون: إن الشخص الواحد قد يعذبه الله بالنار ثم يدخله الجنة كما نطقت بذلك الأحاديث الصحيحة وهذا الشخص الذي له سيئات عذب بها وله حسنات دخل بها الجنة وله معصية وطاعة باتفاق فإن هؤلاء الطوائف لم يتنازعوا في حكمه؛ لكن تنازعوا في اسمه. فقالت المرجئة: جهميتهم وغير جهميتهم: هو مؤمن كامل الإيمان. وأهل السنة والجماعة على أنه مؤمن ناقص الإيمان ولولا ذلك لما عذب كما أنه ناقص البر والتقوى باتفاق المسلمين وهل يطلق عليه اسم مؤمن؟ هذا فيه القولان والصحيح التفصيل. فإذا سئل عن أحكام الدنيا كعتقه في الكفارة. قيل: هو مؤمن وكذلك إذا سئل عن دخوله في خطاب المؤمنين. وأما إذا سئل عن حكمه في الآخرة. قيل: ليس هذا النوع من المؤمنين الموعودين بالجنة بل معه إيمان يمنعه الخلود في النار ويدخل به الجنة بعد أن يعذب في النار إن لم يغفر الله له ذنوبه ولهذا قال من قال: هو مؤمن بإيمانه فاسق بكبيرته أو مؤمن ناقص الإيمان والذين لا يسمونه مؤمنا من أهل السنة ومن المعتزلة يقولون: اسم الفسوق ينافي اسم الإيمان لقوله: {بئس الاسم الفسوق بعد الإيمان} وقوله: {أفمن كان مؤمنا كمن كان فاسقا} وقد قال النبي صلى الله عليه وسلم {سباب المسلم فسوق وقتاله كفر} . وعلى هذا الأصل فبعض الناس يكون معه شعبة من شعب الكفر ومعه إيمان أيضا وعلى هذا ورد عن النبي صلى الله عليه وسلم في تسمية كثير من الذنوب كفرا مع أن صاحبها قد يكون معه أكثر من مثقال ذرة من إيمان فلا يخلد في النار. كقوله {سباب المسلم فسوق وقتاله كفر} وقوله: {لا ترجعوا بعدي كفارا يضرب بعضكم رقاب بعض} وهذا مستفيض عن النبي صلى الله عليه وسلم في " الصحيح " من غير وجه فإنه أمر في حجة الوداع أن ينادي به في الناس فقد سمى من يضرب بعضهم رقاب بعض بلا حق كفارا؛ وسمى هذا الفعل كفرا؛ ومع هذا فقد قال تعالى: {وإن طائفتان من المؤمنين اقتتلوا فأصلحوا بينهما} إلى قوله: {إنما المؤمنون إخوة} فبين أن هؤلاء لم يخرجوا من الإيمان بالكلية ولكن فيهم ما هو كفر وهي هذه الخصلة. كما قال بعض الصحابة: كفر دون كفر. وكذلك قوله: {من قال لأخيه يا كافر فقد باء بها أحدهما} فقد سماه أخاه حين القول؛ وقد أخبر أن أحدهما باء بها فلو خرج أحدهما عن الإسلام بالكلية لم يكن أخاه بل فيه كفر.</t>
  </si>
  <si>
    <t xml:space="preserve">وكذلك قوله: " اختبأت دعوتي شفاعة لأمتي يوم القيامة، فهي نائلة إن شاء الله من مات لا يشرك بالله شيئا "، وقوله: " إني لأرجو أن تكونوا نصف أهل الجنة " وأمثال هذه النصوص، وكان يستدل به أحمد وغيره على الاستثناء في الإيمان، كما نذكره في موضعه. والمقصود أن خير المؤمنين في أعلى درجات الجنة، والمنافقون في الدرك الأسفل من النار، وإن كانوا في الدنيا مسلمين ظاهرا تجري عليهم أحكام الإسلام الظاهرة، فمن كان فيه إيمان ونفاق يسمى مسلما؛ إذ ليس هو دون المنافق المحض، وإذا كان نفاقه أغلب لم يستحق اسم الإيمان، بل اسم المنافق أحق به، فإن ما فيه بياض وسواد، سواده أكثر من بياضه، هو باسم الأسود أحق منه باسم الأبيض، كما قال تعالى: {هم للكفر يومئذ أقرب منهم للإيمان} [آل عمران: 167] ، وأما إذا كان إيمانه أغلب ومعه نفاق يستحق به الوعيد، لم يكن أيضا من المؤمنين الموعودين بالجنة، وهذا حجة لما ذكره محمد بن نصر عن أحمد، ولم أره أنا فيما بلغني من كلام أحمد ولا ذكره الخلال ونحوه. وقال محمد بن نصر: وحكى غير هؤلاء عن أحمد أنه قال: من أتى هذه الأربعة: الزنا، والسرقة، وشرب الخمر، والنهبة التي يرفع الناس فيها أبصارهم إليه، أو مثلهن أو فوقهن، فهو مسلم ولا أسميه مؤمنا، ومن أتى دون الكبائر نسميه مؤمنا ناقص الإيمان، فإن صاحب هذا القول يقول: لما نفى عنه النبي صلى الله عليه وسلم الإيمان، نفيته عنه كما نفاه عنه الرسول صلى الله عليه وسلم والرسول لم ينفه إلا عن صاحب كبيرة، وإلا فالمؤمن الذي يفعل الصغيرة هي مكفرة عنه بفعله للحسنات واجتنابه للكبائر، لكنه ناقص الإيمان عمن اجتنب الصغائر، فما أتى بالإيمان الواجب، ولكن خلطه بسيئات كفرت عنه بغيرها، ونقصت بذلك درجته عمن لم يأت بذلك. وأما الذين نفى عنهم الرسول الإيمان، فننفيه كما نفاه الرسول، وأولئك وإن كان معهم التصديق وأصل الإيمان فقد تركوا منه ما استحقوا لأجله سلب الإيمان، وقد يجتمع في العبد نفاق وإيمان، وكفر وإيمان، فالإيمان المطلق عند هؤلاء ما كان صاحبه مستحقا للوعد بالجنة. وطوائف أهل الأهواء من الخوارج، والمعتزلة، والجهمية، والمرجئة، كراميهم، وغير كراميهم يقولون: إنه لا يجتمع في العبد إيمان ونفاق، ومنهم من يدعي الإجماع على ذلك، وقد ذكر أبو الحسن في بعض كتبه الإجماع على ذلك، ومن هنا غلطوا فيه وخالفوا فيه الكتاب والسنة وآثار الصحابة والتابعين لهم بإحسان مع مخالفة صريح المعقول، بل الخوارج والمعتزلة طردوا هذا الأصل الفاسد، وقالوا: لا يجتمع في الشخص الواحد طاعة يستحق بها الثواب، ومعصية يستحق بها العقاب، ولا يكون الشخص الواحد محمودا من وجه مذموما من وجه، ولا محبوبا مدعوا من وجه مسخوطا ملعونا من وجه، ولا يتصور أن الشخص الواحد يدخل الجنة والنار جميعا عندهم؛ بل من دخل إحداهما لم يدخل الأخرى عندهم؛ ولهذا أنكروا خروج أحد من النار أو الشفاعة في أحد من أهل النار. وحكى عن غالية المرجئة أنهم وافقوهم على هذا الأصل، لكن هؤلاء قالوا: إن أهل الكبائر يدخلون الجنة ولا يدخلون النار مقابلة لأولئك. وأما أهل السنة والجماعة والصحابة، والتابعون لهم بإحسان، وسائر طوائف المسلمين من أهل الحديث والفقهاء وأهل الكلام من مرجئة الفقهاء والكرامية والكلابية والأشعرية، والشيعة مرجئهم وغير مرجئهم فيقولون: إن الشخص الواحد قد يعذبه الله بالنار ثم يدخله الجنة كما نطقت بذلك الأحاديث الصحيحة، وهذا الشخص الذي له سيئات عذب بها، وله حسنات دخل بها الجنة، وله معصية وطاعة باتفاق، فإن هؤلاء الطوائف لم يتنازعوا في حكمه، لكن تنازعوا في اسمه. فقالت المرجئة جهميتهم وغير جهميتهم هو مؤمن كامل الإيمان. وأهل السنة والجماعة على أنه مؤمن ناقص الإيمان، ولولا ذلك لما عذب، كما أنه ناقص البر والتقوى باتفاق المسلمين، وهل يطلق عليه اسم مؤمن؟ هذا فيه القولان، والصحيح التفصيل. فإذا سئل عن أحكام الدنيا كعتقه في الكفارة، قيل: هو مؤمن وكذلك إذا سئل عن دخوله في خطاب المؤمنين. وأما إذا سئل عن حكمه في الآخرة، قيل: ليس هذا النوع من المؤمنين الموعودين بالجنة، بل معه إيمان يمنعه الخلود في النار ويدخل به الجنة بعد أن</t>
  </si>
  <si>
    <t xml:space="preserve">MF-V07-S09-P026</t>
  </si>
  <si>
    <t xml:space="preserve">IMN-S00-P137</t>
  </si>
  <si>
    <t xml:space="preserve">وهكذا كثير من الفلاسفة تصوروا أعدادا مجردة وحقائق مجردة ويسمونها المثل الأفلاطونية وزمانا مجردا عن الحركة والمتحرك وبعدا مجردا عن الأجسام وصفاتها ثم ظنوا وجود ذلك في الخارج وهؤلاء كلهم اشتبه عليهم ما في الأذهان بما في الأعيان وهؤلاء قد يجعلون الواحد اثنين والاثنين واحدا؛ فتارة يجيئون إلى الأمور المتعددة المتفاضلة في الخارج فيجعلونها واحدة أو متماثلة وتارة يجيئون إلى ما في الخارج من الحيوان والمكان والزمان فيجعلون الواحد اثنين. والمتفلسفة والجهمية وقعوا في هذا وهذا فجاءوا إلى صفات الرب التي هي أنه عالم وقادر فجعلوا هذه الصفة هي عين الأخرى وجعلوا الصفة هي الموصوف. وهكذا القائلون بأن الإيمان شيء واحد وأنه متماثل في بني آدم غلطوا في كونه واحدا وفي كونه متماثلا كما غلطوا في أمثال ذلك من مسائل " التوحيد " و " الصفات " و " القرآن " ونحو ذلك؛ فكان غلط جهم وأتباعه في الإيمان كغلطهم في صفات الرب الذي يؤمن به المؤمنون وفي كلامه وصفاته سبحانه وتعالى عما يقول الظالمون علوا كبيرا. وكذلك السواد والبياض يقبل الاشتداد والضعف؛ بل عامة الصفات التي يتصف بها الموصوفون تقبل التفاضل؛ ولهذا كان العقل يقبل التفاضل والإيجاب والتحريم يقبل التفاضل فيكون إيجاب أقوى من إيجاب وتحريم أقوى من تحريم. وكذلك المعرفة التي في القلوب تقبل التفاضل على الصحيح عند أهل السنة وفي هذا كله نزاع فطائفة من المنتسبين إلى السنة تنكر التفاضل في هذا كله كما يختار ذلك القاضي أبو بكر وابن عقيل وغيرهما. وقد حكي عن أحمد في التفاضل في المعرفة روايتان. وإنكار التفاضل في هذه الصفات هو من جنس أصل قول المرجئة ولكن يقوله من يخالف المرجئة وهؤلاء يقولون: التفاضل إنما هو في الأعمال وأما الإيمان الذي في القلوب فلا يتفاضل وليس الأمر كما قالوه بل جميع ذلك يتفاضل وقد يقولون: إن أعمال القلب تتفاضل؛ بخلاف معارف القلب وليس الأمر كذلك بل إيمان القلوب يتفاضل من جهة ما وجب على هذا ومن جهة ما وجب على هذا فلا يستوون في الوجوب. وأمة محمد وإن وجب عليهم جميعهم الإيمان بعد استقرار الشرع فوجوب الإيمان بالشيء المعين موقوف على أن يبلغ العبد إن كان خبرا وعلى أن يحتاج إلى العمل به إن كان أمرا وعلى العلم به إن كان علما وإلا فلا يجب على كل مسلم أن يعرف كل خبر وكل أمر في الكتاب والسنة ويعرف معناه ويعلمه؛ فإن هذا لا يقدر عليه أحد. فالوجوب يتنوع بتنوع الناس فيه؛ ثم قدرهم في أداء الواجب متفاوتة؛ ثم نفس المعرفة تختلف بالإجمال والتفصيل والقوة والضعف ودوام الحضور ومع الغفلة فليست المفصلة المستحضرة الثابتة التي يثبت الله صاحبها بالقول الثابت في الحياة الدنيا وفي الآخرة كالمجملة التي غفل عنها وإذا حصل له ما يريبه فيها وذكرها في قلبه ثم رغب إلى الله في كشف الريب. ثم أحوال القلوب وأعمالها مثل محبة الله ورسوله وخشية الله والتوكل عليه والصبر على حكمه والشكر له والإنابة إليه وإخلاص العمل له ما يتفاضل الناس فيها تفاضلا لا يعرف قدره إلا الله عز وجل ومن أنكر تفاضلهم في هذا فهو إما جاهل لم يتصوره وإما معاند. قال الإمام أحمد: فإن زعموا أنهم لا يقبلون زيادة الإيمان من أجل أنهم لا يدرون ما زيادته وأنها غير محدودة فما يقولون في أنبياء الله وكتبه ورسله؟ هل يقرون بهم في الجملة؟ ويزعمون أنه من الإيمان؛ فإذا قالوا: نعم؛ قيل لهم: هل تحدونهم وتعرفون عددهم؟ أليس إنما يصيرون في ذلك إلى الإقرار بهم في الجملة ثم يكفون عن عددهم؟ فكذلك زيادة الإيمان. وبين أحمد أن كونهم لم يعرفوا منتهى زيادته لا يمنعهم من الإقرار بها في الجملة؛ كما أنهم يؤمنون بالأنبياء والكتب وهم لا يعرفون عدد الكتب والرسل. وهذا الذي ذكره أحمد وذكره محمد بن نصر وغيرهما يبين أنهم لم يعلموا عدد الكتب والرسل وأن حديث أبي ذر في ذلك لم يثبت عندهم. وأما قول من سوى بين الإسلام والإيمان وقال: إن الله سمى الإيمان بما سمى به الإسلام؛ وسمى الإسلام بما سمى به الإيمان فليس كذلك فإن الله</t>
  </si>
  <si>
    <t xml:space="preserve">وهكذا كثير من الفلاسفة تصوروا أعدادا مجردة وحقائق مجردة ويسمونها المثل الأفلاطونية، وزمانا مجردا عن الحركة والمتحرك، وبعدا مجردا عن الأجسام وصفاتها ثم ظنوا وجود ذلك في الخارج، وهؤلاء كلهم اشتبه عليهم ما في الأذهان بما في الأعيان، وهؤلاء قد يجعلون الواحد اثنين والاثنين واحدا، فتارة يجيئون إلي الأمور المتعددة المتفاضلة في الخارج فيجعلونها واحدة أو متماثلة، وتارة يجيئون إلى ما في الخارج من الحيوان والمكان والزمان فيجعلون الواحد اثنين، والمتفلسفة والجهمية وقعوا في هذا وهذا، فجاؤوا إلى صفات الرب التي هي أنه عالم وقادر، فجعلوا هذه الصفة هي عين الأخري وجعلوا الصفة هي الموصوف. وهكذا القائلون بأن الإيمان شيء واحد وأنه متماثل في بني آدم، غلطوا في كونه واحدا وفي كونه متماثلا كما غلطوا في أمثال ذلك من مسائل [التوحيد] و [الصفات] و [القرآن] ونحو ذلك، فكان غلط جهم وأتباعه في الإيمان كغلطهم في صفات الرب الذي يؤمن به المؤمنون، وفي كلامه وصفاته سبحانه وتعالى عما يقول الظالمون علوا كبيرا. وكذلك السواد والبياض يقبل الاشتداد والضعف، بل عامة الصفات التي يتصف بها الموصوفون تقبل التفاضل؛ ولهذا كان العقل يقبل التفاضل، والإيجاب والتحريم يقبل التفاضل، فيكون إيجاب أقوى من إيجاب، وتحريم أقوى من تحريم، وكذلك المعرفة التي في القلوب تقبل التفاضل على الصحيح عند أهل السنة، وفي هذا كله نزاع، فطائفة من المنتسبين إلى السنة تنكر التفاضل في هذا كله كما يختار ذلك القاضي أبو بكر وابن عقيل، وغيرهما. وقد حكى عن أحمد في التفاضل في المعرفة روايتان. وإنكار التفاضل في هذه الصفات هو من جنس أصل قول المرجئة، ولكن يقوله من يخالف المرجئة، وهؤلاء يقولون: التفاضل إنما هو في الأعمال، وأما الإيمان الذي في القلوب فلا يتفاضل، وليس الأمر كما قالوه، بل جميع ذلك يتفاضل، وقد يقولون: إن أعمال القلب تتفاضل، بخلاف معارف القلب، وليس الأمر كذلك، بل إيمان القلوب يتفاضل من جهة ما وجب علي هذا، ومن جهة ما وجب على هذا، فلا يستوون في الوجوب، وأمة محمد وإن وجب عليهم جميعهم الإيمان بعد استقرار الشرع، فوجوب الإيمان بالشيء المعين موقوف على أن يبلغ العبد إن كان خبرا، وعلى أن يحتاج إلى العمل به إن كان أمرا، وعلى العلم به إن كان علما، وإلا فلا يجب على كل مسلم أن يعرف كل خبر وكل أمر في الكتاب والسنة، ويعرف معناه ويعلمه، فإن هذا لا يقدر عليه أحد. فالوجوب يتنوع بتنوع الناس فيه، ثم قدرهم في أداء الواجب متفاوتة، ثم نفس المعرفة تختلف بالإجمال والتفصيل، والقوة والضعف، ودوام الحضور، ومع الغفلة، فليست المفصلة المستحضرة الثابتة التي يثبت الله صاحبها بالقول الثابت في الحياة الدنيا وفي الآخرة، كالمجملة التي غفل عنها، وإذا حصل له ما يريبه فيها وذكرها في قلبه، ثم رغب إلى الله في كشف الريب، ثم أحوال القلوب وأعمالها مثل محبة الله ورسوله وخشية الله، والتوكل عليه، والصبر على حكمه، والشكر له والإنابة إليه، وإخلاص العمل له مما يتفاضل الناس فيها تفاضلا لا يعرف قدره إلا الله عز وجل ومن أنكر تفاضلهم في هذا فهو إما جاهل لم يتصوره، وإما معاند. قال الإمام أحمد: فإن زعموا أنهم لا يقبلون زيادة الإيمان، من أجل أنهم لا يدرون ما زيادته، وأنها غير محدودة، فما يقولون في أنبياء الله وكتبه ورسله؟ هل يقرون بهم في الجملة؟ ويزعمون أنه من الإيمان، فإذا قالوا: نعم، قيل لهم: هل تحدونهم وتعرفون عددهم؟ أليس إنما يصيرون في ذلك إلى الإقرار بهم في الجملة، ثم يكفون عن عددهم؟ فكذلك زيادة الإيمان. وبين أحمد أن كونهم لم يعرفوا منتهى زيادته، لا يمنعهم من الإقرار بها في الجملة، كما أنهم يؤمنون بالأنبياء والكتب وهم لا يعرفون عدد الكتب والرسل. وهذا الذي ذكره أحمد، وذكره محمد بن نصر، وغيرهما، يبين أنهم لم يعلموا عدد الكتب والرسل، وأن حديث أبي ذر في ذلك لم يثبت عندهم. وأما قول من سوى بين الإسلام والإيمان وقال: إن الله سمى الإيمان بما سمى به الإسلام، وسمى الإسلام بما سمى به الإيمان، فليس كذلك، فإن الله ورسوله قد فسر الإيمان بأنه الإيمان بالله وملائكته وكتبه ورسله واليوم الآخر. وبين أيضا أن العمل بما أمر به يدخل في الإيمان، ولم يسم الله الإيمان بملائكته وكتبه ورسله والبعث بعد الموت إسلاما، بل إنما سمى الإسلام الاستسلام له بقلبه وقصده وإخلاص الدين والعمل بما أمر به؛ كالصلاة والزكاة خالصا لوجهه، فهذا هو الذي سماه الله إسلاما وجعله دينا، وقال: {ومن يبتغ غير الإسلام دينا فلن يقبل منه} [آل عمران: 85] ، ولم يدخل فيما خص به الإيمان، وهو الإيمان بالله وملائكته وكتبه ورسله، بل ولا أعمال القلوب، مثل حب الله ورسوله ونحو ذلك، فإن هذه جعلها من الإيمان، والمسلم المؤمن يتصف بها، وليس إذا اتصف بها المسلم المؤمن يلزم أن تكون من الإسلام، بل هي من الإيمان، والإسلام فرض، والإيمان فرض، والإسلام داخل فيه، فمن أتى بالإيمان الذي أمر به، فلابد أن يكون قد أتى بالإسلام المتناول لجميع الأعمال الواجبة، ومن أتى بما يسمى إسلاما لم يلزم أن يكون قد أتى بالإيمان إلا بدليل منفصل، كما علم أن من أثنى الله عليه بالإسلام من الأنبياء وأتباعهم إلى الحواريين كلهم كانوا مؤمنين كما كانوا مسلمين، كما قال الحواريون: {آمنا بالله واشهد بأنا مسلمون} [آل عمران: 52] ، وقال: {وإذ أوحيت إلى الحواريين أن آمنوا بي وبرسولي قالوا آمنا واشهد بأننا مسلمون} [المائدة: 111] ؛ ولهذا أمرنا الله بهذا وبهذا في خطاب واحد، كما قال: {قولوا آمنا بالله ومآ أنزل إلينا وما</t>
  </si>
  <si>
    <t xml:space="preserve">Orta-yüksek (paragraf ortak, paraphrase olabilir)</t>
  </si>
  <si>
    <t xml:space="preserve">MF-V07-S00-P008</t>
  </si>
  <si>
    <t xml:space="preserve">IMN-S00-P009</t>
  </si>
  <si>
    <t xml:space="preserve">وقد ذم الله " قسوة القلوب " المنافية للخشوع في غير موضع فقال تعالى: {ثم قست قلوبكم من بعد ذلك فهي كالحجارة أو أشد قسوة} . قال الزجاج: قست في اللغة: غلظت ويبست وعسيت. فقسوة القلب ذهاب اللين والرحمة والخشوع منه والقاسي والعاسي: الشديد الصلابة. وقال ابن قتيبة: قست وعست وعتت. أي يبست. وقوة القلب المحمودة غير قسوته المذمومة فإنه ينبغي أن يكون قويا من غير عنف ولينا من غير ضعف. وفي الأثر: {القلوب آنية الله في أرضه فأحبها إلى الله أصلبها وأرقها وأصفاها} . وهذا كاليد فإنها قوية لينة بخلاف ما يقسو من العقب فإنه يابس لا لين فيه وإن كان فيه قوة. وهو سبحانه ذكر وجل القلب من ذكره ثم ذكر زيادة الإيمان عند تلاوة كتابه علما وعملا. ثم لا بد من التوكل على الله فيما لا يقدر عليه ومن طاعته فيما يقدر عليه وأصل ذلك " الصلاة " و " الزكاة ". فمن قام بهذه الخمس كما أمر لزم أن يأتي بسائر الواجبات. بل " الصلاة نفسها " إذا فعلها كما أمر فهي تنهى عن الفحشاء والمنكر؛ كما روي عن ابن مسعود وابن عباس: إن في الصلاة منتهى ومزدجرا عن معاصي الله فمن لم تنهه صلاته عن الفحشاء والمنكر لم يزدد بصلاته من الله إلا بعدا ". وقوله: " لم يزدد إلا بعدا " إذا كان ما ترك من الواجب منها أعظم مما فعله، أبعده ترك الواجب الأكثر من الله أكثر مما قربه فعل الواجب الأقل، وهذا كما في " الصحيح " {عن النبي صلى الله عليه وسلم أنه قال: تلك صلاة المنافق، تلك صلاة المنافق، تلك صلاة المنافق، يرقب الشمس حتى إذا كانت بين قرني شيطان قام فنقر أربعا لا يذكر الله فيها إلا قليلا} . وقد قال تعالى: {إن المنافقين يخادعون الله وهو خادعهم وإذا قاموا إلى الصلاة قاموا كسالى يراءون الناس ولا يذكرون الله إلا قليلا} . وفي السنن عن عمار {عن النبي صلى الله عليه وسلم أنه قال: إن العبد لينصرف من صلاته ولم يكتب له منها إلا نصفها، إلا ثلثها. . حتى قال: إلا عشرها} وعن ابن عباس قال: ليس لك من صلاتك إلا ما عقلت منها. وهذا وإن لم يؤمر بإعادة الصلاة عند أكثر العلماء لكن يؤمر بأن يأتي من التطوعات بما يجبر نقص فرضه. ومعلوم أن من حافظ على الصلوات بخشوعها الباطن وأعمالها الظاهرة وكان يخشى الله الخشية التي أمره بها؛ فإنه يأتي بالواجبات؛ ولا يأتي كبيرة. ومن أتى الكبائر - مثل الزنا أو السرقة أو شرب الخمر؛ وغير ذلك - فلا بد أن يذهب ما في قلبه من تلك الخشية والخشوع والنور؛ وإن بقي أصل التصديق في قلبه. وهذا من " الإيمان " الذي ينزع منه عند فعل الكبيرة كما قال النبي صلى الله عليه وسلم {لا يزني الزاني حين يزني وهو مؤمن ولا يسرق السارق حين يسرق وهو مؤمن} . فإن " المتقين " كما وصفهم الله بقوله: {إن الذين اتقوا إذا مسهم طائف من الشيطان تذكروا فإذا هم مبصرون} فإذا طاف بقلوبهم طائف من الشيطان تذكروا فيبصرون. قال سعيد بن جبير: هو الرجل يغضب الغضبة فيذكر الله؛ فيكظم الغيظ. وقال ليث عن مجاهد: هو الرجل يهم بالذنب فيذكر الله فيدعه. والشهوة والغضب مبدأ السيئات فإذا أبصر رجع ثم قال: {وإخوانهم يمدونهم في الغي ثم لا يقصرون} . أي: وإخوان الشياطين تمدهم الشياطين في الغي ثم لا يقصرون. قال ابن عباس: لا الإنس تقصر عن السيئات. ولا الشياطين تمسك عنهم. فإذا لم يبصر بقي قلبه في غي والشيطان يمده في غيه. وإن كان التصديق في قلبه لم يكذب. فذلك النور والإبصار. وتلك الخشية والخوف يخرج من قلبه. وهذا: كما أن الإنسان يغمض عينيه فلا يرى شيئا وإن لم يكن أعمى؛ فكذلك القلب بما يغشاه من رين الذنوب لا يبصر الحق. وإن لم يكن أعمى كعمى الكافر. وهكذا جاء في الآثار: قال أحمد بن حنبل في كتاب (الإيمان) : حدثنا يحيى عن أشعث عن الحسن عن النبي صلى الله عليه وسلم قال: {ينزع منه الإيمان؛ فإن تاب أعيد إليه} . وقال: حدثنا يحيى عن عوف قال: قال الحسن: " يجانبه الإيمان ما دام كذلك فإن راجع راجعه الإيمان ". وقال أحمد: حدثنا معاوية عن أبي إسحاق عن الأوزاعي قال: وقد قلت للزهري حين ذكر هذا الحديث - {لا يزني الزاني حين يزني وهو مؤمن} فإنهم يقولون: فإن لم يكن مؤمنا فما هو؟ قال: فأنكر ذلك. وكره مسألتي عنه. وقال أحمد: حدثنا عبد الرحمن بن مهدي. عن سفيان عن إبراهيم بن</t>
  </si>
  <si>
    <t xml:space="preserve">وفي السنن عن عمار، عن النبي صلىالله عليه وسلم أنه قال: " إن العبد لينصرف من صلاته ولم يكتب له منها إلا نصفها، إلا ثلثها "، حتى قال: " إلا عشرها "، وعن ابن عباس قال: ليس لك من صلاتك إلا ما عقلت منها. وهذا وإن لم يؤمر بإعادة الصلاة عند أكثر العلماء، لكن يؤمر بأن يأتي من التطوعات بما يجبر نقص فرضه. ومعلوم أن من حافظ على الصلوات بخشوعها الباطن، وأعمالها الظاهرة، وكان يخشى الله الخشية التي أمره بها، فإنه يأتي بالواجبات، ولا يأتي كبيرة، ومن أتى الكبائر _ مثل الزنا، أو السرقة، أو شرب الخمر، وغير ذلك _ فلابد أن يذهب ما في قلبه من تلك الخشية والخشوع والنور، وإن بقي أصل التصديق في قلبه. وهذا من الإيمان الذي ينزع منه عند فعل الكبيرة، كما قال النبي صلى الله عليه وسلم: " لا يزني الزاني حين يزني وهو مؤمن، ولا يسرق السارق حين يسرق وهو مؤمن ". فإن المتقين كما وصفهم الله بقوله: {إن الذين اتقوا إذا مسهم طائف من الشيطان تذكروا فإذا هم مبصرون} [الأعراف: 201] ، فإذا طاف بقلوبهم طائف من الشيطان تذكروا، فيبصرون. قال سعيد بن جبير: هو الرجل يغضب الغضبة، فيذكر الله، فيكظم الغيظ. وقال ليث عن مجاهد: هو الرجل يهم بالذنب، فيذكر الله، فيدعه. والشهوة والغضب مبدأ السيئات، فإذا أبصر رجع، ثم قال: {وإخوانهم يمدونهم في الغي ثم لا يقصرون} [الأعراف: 202] أي: وإخوان الشياطين تمدهم الشياطين في الغي، ثم لا يقصرون. قال ابن عباس: لا الإنس تقصر عن السيئات. ولا الشياطين تمسك عنهم، فإذا لم يبصر بقي قلبه في غي، والشيطان يمده في غيه. وإن كان التصديق في قلبه لم يكذب. فذلك النور والإبصار. وتلك الخشية والخوف، يخرج من قلبه. وهذا: كما أن الإنسان يغمض عينيه فلا يرى شيئا، وإن لم يكن أعمى، فكذلك القلب بما يغشاه من رين الذنوب لا يبصر الحق. وإن لم يكن أعمى كعمى الكافر. وهكذا جاء في الآثار: قال أحمد بن حنبل في كتاب [الإيمان] : حدثنا يحيي، عن أشعث، عن الحسن، عن النبي صلى الله عليه وسلم قال: " ينزع منه الإيمان، فإن تاب أعيد إليه ". وقال: حدثنا يحيي، عن عوف، قال: قال الحسن: يجانبه الإيمان ما دام كذلك، فإن راجع راجعه الإيمان. وقال أحمد: حدثنا معاوية عن أبي إسحاق، عن الأوزاعي، قال: وقد قلت للزهري حين ذكر هذا الحديث: " لا يزني الزاني حين يزني وهو مؤمن ": فإنهم يقولون: فإن لم يكن مؤمنا فما هو؟ قال: فأنكر ذلك. وكره مسألتي عنه. وقال أحمد: حدثنا عبد الرحمن بن مهدي، عن سفيان، عن إبراهيم بن مهاجر، عن مجاهد، عن ابن عباس؛ أنه قال لغلمانه: من أراد منكم الباءة زوجناه، لا يزني منكم زان إلا نزع الله منه نور الإيمان، فإن شاء أن يرده رده، وإن شاء أن يمنعه منعه. وقال أبو داود السجستاني: حدثنا عبد الوهاب بن نجدة، حدثنا بقية بن الوليد، حدثنا صفوان بن عمرو، عن عبد الله بن ربيعة الحضرمي؛ أنه أخبره عن أبي هريرة: أنه كان يقول: إنما الإيمان كثوب أحدكم، يلبسه مرة ويقلعه أخرى، وكذلك رواه بإسناده عن عمر، وروى عن الحسن، عن النبي صلى الله عليه وسلم مرسلا. وفي حديث عن أبي هريرة مرفوع إلى النبي صلى الله عليه وسلم: " إذا زنى الزاني خرج منه الإيمان فكان كالظلة، فإذا انقطع رجع إليه الإيمان ". وهذا _ إن شاء الله _ يبسط في موضع آخر. فصل: وقد جاءت أحاديث تنازع الناس في صحتها، مثل قوله: " لا صلاة إلا بوضوء، ولا وضوء لمن لم يذكر اسم الله عليه "، فأما الأول: فهو كقوله: " لا صلاة إلا بطهور " وهذا متفق عليه بين المسلمين؛ فإن الطهور واجب في الصلاة، فإنما نفى الصلاة لانتفاء واجب فيها، وأما ذكر اسم الله _ تعالى _ على الوضوء، ففي وجوبه نزاع معروف، وأكثر العلماء لا يوجبونه، وهو مذهب مالك، وأبي حنيفة، والشافعي، وهو إحدى الروايتين عن أحمد، اختارها الخرقي وأبو محمد وغيرهما. والثاني: يجب وهو قول طائفة من أهل العلم. وهو الرواية الأخرى عن أحمد، اختارها أبو بكر عبد العزيز، والقاضي أبو يعلى وأصحابه. وكذلك قوله: " لا صلاة لجار المسجد إلا في المسجد " رواه الدارقطني، فمن الناس من يضعفه مرفوعا ويقول: هو من كلام علي _ رضي الله عنه _ ومنهم من يثبته كعبد الحق.</t>
  </si>
  <si>
    <t xml:space="preserve">MF-V07-S06-P013</t>
  </si>
  <si>
    <t xml:space="preserve">IMN-S00-P079</t>
  </si>
  <si>
    <t xml:space="preserve">الوجه الثامن: أن الإنسان قد يكون مكذبا ومنكرا لأمور لا يعلم أن الرسول أخبر بها وأمر بها ولو علم ذلك لم يكذب ولم ينكر. بل قلبه جازم بأنه لا يخبر إلا بصدق ولا يأمر إلا بحق ثم يسمع الآية أو الحديث أو يتدبر ذلك أو يفسر له معناه أو يظهر له ذلك بوجه من الوجوه فيصدق بما كان مكذبا به ويعرف ما كان منكرا وهذا تصديق جديد وإيمان جديد ازداد به إيمانه ولم يكن قبل ذلك كافرا بل جاهلا؛ وهذا وإن أشبه المجمل والمفصل لكون قلبه سليما عن تكذيب وتصديق لشيء من التفاصيل وعن معرفة وإنكار لشيء من ذلك فيأتيه التفصيل بعد الإجمال على قلب ساذج؛ وأما كثير من الناس بل من أهل العلوم والعبادات فيقوم بقلوبهم من التفصيل أمور كثيرة تخالف ما جاء به الرسول وهم لا يعرفون أنها تخالف فإذا عرفوا رجعوا وكل من ابتدع في الدين قولا أخطأ فيه أو عمل عملا أخطأ فيه وهو مؤمن بالرسول أو عرف ما قاله وآمن به لم يعدل عنه؛ هو من هذا الباب وكل مبتدع قصده متابعة الرسول فهو من هذا الباب؛ فمن علم ما جاء به الرسول وعمل به أكمل ممن أخطأ ذلك؛ ومن علم الصواب بعد الخطأ وعمل به فهو أكمل ممن لم يكن كذلك. فصل: وقد أثبت الله في القرآن إسلاما بلا إيمان في قوله تعالى {قالت الأعراب آمنا قل لم تؤمنوا ولكن قولوا أسلمنا ولما يدخل الإيمان في قلوبكم وإن تطيعوا الله ورسوله لا يلتكم من أعمالكم شيئا} . وقد ثبت في " الصحيحين {عن سعد بن أبي وقاص قال: أعطى النبي صلى الله عليه وسلم رهطا وفي رواية قسم قسما وترك فيهم من لم يعطه وهو أعجبهم إلي فقلت: يا رسول الله ما لك عن فلان؟ فوالله إني لأراه مؤمنا فقال رسول الله صلى الله عليه وسلم أو مسلما. أقولها ثلاثا ويرددها علي رسول الله صلى الله عليه وسلم ثلاثا ثم قال: إني لأعطي الرجل وغيره أحب إلي منه مخافة أن يكبه الله على وجهه في النار} وفي رواية: {فضرب بين عنقي وكتفي وقال: أقتال أي سعد} . فهذا الإسلام الذي نفى الله عن أهله دخول الإيمان في قلوبهم هل هو إسلام يثابون عليه؟ أم هو من جنس إسلام المنافقين؟ فيه قولان مشهوران للسلف والخلف: أحدهما: أنه إسلام يثابون عليه ويخرجهم من الكفر والنفاق. وهذا مروي عن الحسن وابن سيرين وإبراهيم النخعي وأبي جعفر الباقر؛ وهو قول حماد بن زيد وأحمد بن حنبل وسهل بن عبد الله التستري وأبي طالب المكي وكثير من أهل الحديث والسنة والحقائق. قال أحمد بن حنبل: حدثنا مؤمل بن إسحاق عن عمار بن زيد قال: سمعت هشاما يقول: كان الحسن ومحمد يقولان: مسلم ويهابان: مؤمن. وقال أحمد بن حنبل: حدثنا أبو سلمة الخزاعي قال: قال مالك وشريك وأبو بكر بن عياش وعبد العزيز بن أبي سلمة وحماد بن سلمة وحماد بن زيد: " الإيمان " المعرفة والإقرار والعمل إلا أن حماد بن زيد يفرق بين الإسلام والإيمان يجعل الإيمان خاصا والإسلام عاما. و (القول الثاني) : أن هذا الإسلام: هو الاستسلام خوف السبي والقتل مثل إسلام المنافقين. قالوا: وهؤلاء كفار فإن الإيمان لم يدخل في قلوبهم ومن لم يدخل الإيمان في قلبه فهو كافر. وهذا اختيار البخاري ومحمد بن نصر المروزي والسلف مختلفون في ذلك. قال محمد بن نصر: حدثنا إسحاق أنبأنا جرير عن مغيرة قال: أتيت إبراهيم النخعي فقلت: إن رجلا خاصمني يقال له: سعيد العنبري فقال إبراهيم ليس بالعنبري ولكنه زبيدي. قوله: {قالت الأعراب آمنا قل لم تؤمنوا ولكن قولوا أسلمنا} فقال: هو الاستسلام فقال إبراهيم: لا هو الإسلام. وقال: حدثنا محمد بن يحيى حدثنا محمد بن يوسف حدثنا سفيان عن مجاهد: {قالت الأعراب آمنا قل لم تؤمنوا ولكن قولوا أسلمنا} قال: استسلمنا خوف السبي والقتل. ولكن هذا منقطع سفيان لم يدرك مجاهدا. والذين قالوا: إن هذا الإسلام هو كإسلام المنافقين لا يثابون عليه قالوا: لأن الله نفى عنهم الإيمان ومن نفي عنه الإيمان فهو كافر. وقال هؤلاء: الإسلام هو الإيمان وكل مسلم مؤمن. وكل مؤمن مسلم ومن جعل الفساق مسلمين غير مؤمنين لزمه أن لا يجعلهم داخلين في قوله تعالى {يا أيها الذين آمنوا إذا قمتم إلى الصلاة} وفي قوله تعالى {يا أيها الذين آمنوا إذا نودي للصلاة من يوم الجمعة} وأمثال ذلك فإنهم إنما دعوا باسم الإيمان لا باسم الإسلام فمن لم يكن مؤمنا لم يدخل في ذلك. وجواب هذا أن يقال: الذين قالوا من السلف: إنهم خرجوا من الإيمان إلى الإسلام لم يقولوا: إنه لم يبق معهم من الإيمان شيء بل هذا قول الخوارج والمعتزلة. وأهل السنة الذين قالوا هذا يقولون: الفساق يخرجون من النار بالشفاعة. وإن معهم إيمانا يخرجون به من النار. لكن لا يطلق عليهم اسم الإيمان لأن الإيمان المطلق هو الذي يستحق صاحبه الثواب ودخول الجنة وهؤلاء ليسوا من أهله وهم يدخلون في الخطاب بالإيمان لأن الخطاب بذلك هو لمن دخل في الإيمان وإن لم يستكمله فإنه إنما خوطب ليفعل تمام الإيمان فكيف يكون قد أتمه قبل الخطاب وإلا كنا قد تبينا أن هذا المأمور من الإيمان قبل الخطاب؛ وإنما صار من الإيمان بعد أن أمروا به فالخطاب ب {يا أيها</t>
  </si>
  <si>
    <t xml:space="preserve">فهذا الإسلام الذي نفى الله عن أهله دخول الإيمان في قلوبهم، هل هو إسلام يثابون عليه؟ أم هو من جنس إسلام المنافقين؟ فيه قولان مشهوران للسلف والخلف: أحدهما: أنه إسلام يثابون عليه، ويخرجهم من الكفر والنفاق. وهذا مروي عن الحسن، وابن سيرين، وإبراهيم النخعي، وأبي جعفر الباقر، وهو قول حماد بن زيد، وأحمد بن حنبل، وسهل بن عبد الله التستري، وأبي طالب المكي، وكثير من أهل الحديث والسنة والحقائق. قال أحمد بن حنبل: حدثنا مؤمل بن إسحاق عن عمار بن زيد قال: سمعت هشاما يقول: كان الحسن ومحمد يقولان: مسلم، ويهابان: مؤمن، وقال أحمد بن حنبل: حدثنا أبو سلمة الخزاعي، قال: قال مالك، وشريك، وأبو بكر بن عياش، وعبد العزيز ابن أبي سلمة، وحماد بن سلمة، وحماد بن زيد: الإيمان: المعرفة والإقرار والعمل، إلا أن حماد بن زيد يفرق بين الإسلام والإيمان، يجعل الإيمان خاصا، والإسلام عاما. والقول الثاني: أن هذا الإسلام هو الاستسلام خوف السبي والقتل، مثل إسلام المنافقين، قالوا: وهؤلاء كفار، فإن الإيمان لم يدخل في قلوبهم، ومن لم يدخل الإيمان في قلبه فهو كافر. وهذا اختيار البخاري، ومحمد بن نصر المروزي، والسلف مختلفون في ذلك. قال محمد بن نصر: حدثنا إسحاق، أنبأنا جرير، عن مغيرة، قال: أتيت إبراهيم النخعي، فقلت: إن رجلا خاصمني يقال له: سعيد العنبري، فقال إبراهيم: ليس بالعنبري ولكنه زبيدي. قوله: {قالت الأعراب آمنا قل لم تؤمنوا ولكن قولوا أسلمنا} [الحجرات: 14] فقال: هو الاستسلام، فقال إبراهيم: لا، هو الإسلام. وقال: حدثنا محمد بن يحيي، حدثنا محمد بن يوسف، حدثنا سفيان عن مجاهد: {قالت الأعراب آمنا قل لم تؤمنوا ولكن قولوا أسلمنا} ، قال: استسلمنا خوف السبي والقتل، ولكن هذا منقطع، سفيان لم يدرك مجاهدا، والذين قالوا: إن هذا الإسلام هو كإسلام المنافقين، لا يثابون عليه، قالوا: لأن الله نفى عنهم الإيمان، ومن نفى عنه الإيمان فهو كافر، وقال هؤلاء: الإسلام هو الإيمان، وكل مسلم مؤمن، وكل مؤمن مسلم، ومن جعل الفساق مسلمين غير مؤمنين، لزمه ألا يجعلهم داخلين في قوله تعالى: {يا أيها الذين آمنوا إذا قمتم إلى الصلاة} [المائدة: 6] ، وفي قوله تعالى: {يا أيها الذين آمنوا إذا نودي للصلاة من يوم الجمعة} [الجمعة: 9] وأمثال ذلك، فإنهم إنما دعوا باسم الإيمان، لا باسم الإسلام، فمن لم يكن مؤمنا لم يدخل في ذلك. وجواب هذا أن يقال: الذين قالوا من السلف: إنهم خرجوا من الإيمان إلى الإسلام، لم يقولوا: إنه لم يبق معهم من الإيمان شيء، بل هذا قول الخوارج، والمعتزلة. وأهل السنة الذين قالوا هذا يقولون: الفساق يخرجون من النار بالشفاعة، وإن معهم إيمانا يخرجون به من النار. لكن لا يطلق عليهم اسم الإيمان، لأن الإيمان المطلق هو الذي يستحق صاحبه الثواب، ودخول الجنة، وهؤلاء ليسوا من أهله، وهم يدخلون في الخطاب بالإيمان؛ لأن الخطاب بذلك هو لمن دخل في الإيمان وإن لم يستكمله، فإنه إنما خوطب ليفعل تمام الإيمان، فكيف يكون قد أتمه قبل الخطاب؟ ! وإلا كنا قد تبينا أن هذا المأمور من الإيمان قبل الخطاب، وإنما صار من الإيمان بعد أن أمروا به، فالخطاب ب {إنما المؤمنون الذين آمنوا} ، غير قوله: {إنما المؤمنون الذين آمنوا بالله ورسوله ثم لم يرتابوا وجاهدوا بأموالهم وأنفسهم} [الحجرات: 15] ونظائرها، فإن الخطاب ب {يا أيها الذين آمنوا} أولا: يدخل فيه من أظهر الإيمان، وإن كان منافقا في الباطن يدخل فيه في الظاهر، فكيف لا يدخل فيه من لم يكن منافقا، وإن لم يكن من المؤمنين حقا. وحقيقته أن من لم يكن من المؤمنين حقا، يقال فيه: إنه مسلم، ومعه إيمان يمنعه الخلود في النار، وهذا متفق عليه بين أهل السنة، لكن هل يطلق عليه اسم الإيمان؟ هذا هو الذي تنازعوا فيه. فقيل: يقال: مسلم، ولا يقال: مؤمن. وقيل: بل يقال: مؤمن. والتحقيق أن يقال: إنه مؤمن ناقص الإيمان، مؤمن بإيمانه، فاسق بكبيرته، ولا يعطي اسم الإيمان المطلق، فإن الكتاب والسنة نفيا عنه الاسم المطلق، واسم الإيمان يتناوله فيما أمر الله به ورسوله؛ لأن ذلك إيجاب عليه وتحريم عليه، وهو لازم له كما يلزمه غيره، وإنما الكلام في اسم المدح المطلق، وعلى هذا فالخطاب بالإيمان يدخل فيه ثلاث طوائف: يدخل فيه المؤمن حقا. ويدخل فيه المنافق في أحكامه الظاهرة، وإن كانوا في الآخرة في الدرك الأسفل من النار، وهو في الباطن ينفي عنه الإسلام والإيمان، وفي الظاهر يثبت له الإسلام والإيمان الظاهر. ويدخل فيه الذين أسلموا وإن لم تدخل حقيقة الإيمان في قلوبهم، لكن معهم جزء من الإيمان والإسلام يثابون عليه.</t>
  </si>
  <si>
    <t xml:space="preserve">MF-V07-S09-P014</t>
  </si>
  <si>
    <t xml:space="preserve">IMN-S00-P124</t>
  </si>
  <si>
    <t xml:space="preserve">فقد جعل أحمد من جعله مسلما إذا لم يأت بالخمس معاندا للحديث مع قوله: إن الإسلام الإقرار فدل ذلك على أن ذاك أول الدخول في الإسلام وأنه لا يكون قائما بالإسلام الواجب حتى يأتي بالخمس وإطلاق الاسم مشروط بها فإنه ذم من لم يتبع حديث جبريل. وأيضا فهو في أكثر أجوبته يكفر من لم يأت بالصلاة؛ بل وبغيرها من المباني والكافر لا يكون مسلما باتفاق المسلمين فعلم أنه لم يرد أن الإسلام هو مجرد القول بلا عمل؛ وإن قدر أنه أراد ذلك فهذا يكون أنه لا يكفر بترك شيء من المباني الأربعة. وأكثر الروايات عنه بخلاف ذلك والذين لا يكفرون من ترك هذه المباني يجعلونها من الإسلام كالشافعي ومالك وأبي حنيفة وغيرهم فكيف لا يجعلها أحمد من الإسلام وقوله في دخولها في الإسلام أقوى من قول غيره. وقد روي عنه أنه جعل حديث سعد معارضا لحديث عمر ورجح حديث سعد. قال الحسن بن علي: سألت أحمد بن حنبل عن الإيمان أوكد أو الإسلام؟ قال: جاء حديث عمر هذا وحديث سعد أحب إلي. كأنه فهم أن حديث عمر يدل على أن الأعمال هي مسمى الإسلام فيكون مسماه أفضل. وحديث سعد يدل على أن مسمى الإيمان أفضل ولكن حديث عمر لم يذكر الإسلام إلا الأعمال الظاهرة فقط وهذه لا تكون إيمانا إلا مع الإيمان الذي في القلب بالله وملائكته وكتبه ورسله فيكون حينئذ بعض الإيمان فيكون مسمى الإيمان أفضل كما دل عليه حديث سعد فلا منافاة بين الحديثين: وأما تفريق أحمد بين الإسلام والإيمان فكان يقوله تارة وتارة يحكي الخلاف ولا يجزم به. وكان إذا قرن بينهما " تارة " يقول الإسلام الكلمة. " وتارة " لا يقول ذلك وكذلك التكفير بترك المباني كان تارة يكفر بها حتى يغضب؛ وتارة لا يكفر بها. قال الميموني: قلت: يا أبا عبد الله تفرق بين الإسلام والإيمان؟ قال: نعم. قلت بأي شيء تحتج؟ قال: عامة الأحاديث تدل على هذا ثم قال: {لا يزني الزاني حين يزني وهو مؤمن ولا يسرق السارق حين يسرق وهو مؤمن} وقال الله تعالى: {قالت الأعراب آمنا قل لم تؤمنوا ولكن قولوا أسلمنا} قال: وحماد بن زيد يفرق بين الإسلام والإيمان. قال: وحدثنا أبو سلمة الخزاعي قال: قال مالك وشريك وذكر قولهم وقول حماد بن زيد: فرق بين الإسلام والإيمان. قال أحمد: قال لي رجل: لو لم يجئنا في الإيمان إلا هذا لكان حسنا. قلت لأبي عبد الله: فتذهب إلى ظاهر الكتاب مع السنن؟ قال: نعم. قلت: فإذا كانت المرجئة يقولون: إن الإسلام هو القول. قال: هم يصيرون هذا كله واحدا ويجعلونه مسلما ومؤمنا شيئا واحدا على إيمان جبريل ومستكمل الإيمان. قلت: فمن هاهنا حجتنا عليهم؟ قال: نعم. فقد ذكر عنه الفرق مطلقا واحتجاجه بالنصوص. وقال صالح بن أحمد: سئل أبي عن الإسلام والإيمان قال: قال ابن أبي ذئب الإسلام: القول والإيمان: العمل. قيل له: ما تقول أنت؟ قال: الإسلام غير الإيمان وذكر حديث سعد وقول النبي صلى الله عليه وسلم. فهو في هذا الحديث لم يختر قول من قال: الإسلام: القول؛ بل أجاب بأن الإسلام غير الإيمان كما دل عليه الحديث الصحيح مع القرآن. وقال حنبل: حدثنا أبو عبد الله بحديث بريدة: {كان رسول الله صلى الله عليه وسلم يعلمهم إذا خرجوا إلى المقابر أن يقول قائلهم: السلام عليكم أهل الديار من المؤمنين والمسلمين؛ وإنا إن شاء الله بكم لاحقون} . . . الحديث. قال: وسمعت أبا عبد الله يقول في هذا الحديث: حجة على من قال: الإيمان قول. فمن قال: أنا مؤمن فقد خالف قوله: من المؤمنين والمسلمين. فبين المؤمن من المسلم ورد على من قال: أنا مؤمن مستكمل الإيمان وقوله: {وإنا إن شاء الله بكم لاحقون} وهو يعلم أنه ميت يشد قول من قال: أنا مؤمن إن شاء الله بالاستثناء في هذا الموضع. وقال أبو الحارث سألت: أبا عبد الله قلت: قوله: {لا يزني الزاني حين يزني وهو مؤمن ولا يشرب الخمر حين يشربها وهو مؤمن} . قال: قد تأولوه فأما عطاء فقال: يتنحى عنه الإيمان. وقال طاووس: إذا فعل ذلك زال عنه الإيمان. وروي عن الحسن قال: إن رجع راجعه الإيمان. وقد قيل: يخرج من الإيمان إلى الإسلام ولا يخرج من الإسلام. وروى هذه المسألة صالح فإن مسائل أبي الحارث يرويها صالح أيضا. وصالح سأل أباه ع ن هذه القصة فقال فيها: هكذا يروى عن أبي جعفر قال: {لا يزني الزاني حين يزني وهو مؤمن} قال: يخرج من الإيمان إلى الإسلام فالإيمان مقصور في الإسلام،</t>
  </si>
  <si>
    <t xml:space="preserve">قال: وقد قضينا أن الإسلام والإيمان اسمان لمعنيين، وذكرنا اختلاف الفقهاء، وقد ذكر قبل ذلك أن الإسلام والإيمان اسمان لمعنيين مختلفين، وبه قال مالك، وشريك، وحماد ابن زيد، بالتفرقة بين الإسلام والإيمان، قال: وقال أصحاب الشافعي، وأصحاب أبي حنيفة: إنهما اسمان معناهما واحد. قال: ويفيد هذا أن الإيمان قد تنتفي عنه تسميته مع بقاء الإسلام عليه، وهو بإتيان الكبائر التي ذكرت في الخبر، فيخرج عن تسمية الإيمان، إلا أنه مسلم، فإذا تاب من ذلك عاد إلى ما كان عليه من الإيمان، ولا تنتفي عنه تسمية الإيمان بارتكاب الصغائر من الذنوب، بل الاسم باق عليه، ثم ذكر أدلة ذلك، ولكن ما ذكره فيه أدلة كثيرة على من يقول: الإسلام مجرد الكلمة، فإن الأدلة الكثيرة تدل على أن الأعمال من الإسلام، بل النصوص كلها تدل على ذلك، فمن قال: إن الأعمال الظاهرة المأمور بها ليست من الإسلام، فقوله باطل، بخلاف التصديق الذي في القلب، فإن هذا ليس في النصوص ما يدل على أنه من الإسلام، بل هو من الإيمان، وإنما الإسلام الدين، كما فسره النبي صلى الله عليه وسلم بأن يسلم وجهه وقلبه لله، فإخلاص الدين لله إسلام، وهذا غير التصديق، ذاك من جنس عمل القلب، وهذا من جنس علم القلب. وأحمد بن حنبل، وإن كان قد قال في هذا الموضع: إن الإسلام هو الكلمة، فقد قال في موضع آخر: إن الأعمال من الإسلام، وهو اتبع هنا الزهري رحمه الله، فإن كان مراد من قال ذلك: إنه بالكلمة يدخل في الإسلام ولم يأت بتمام الإسلام، فهذا قريب، وإن كان مراده أنه أتى بجميع الإسلام وإن لم يعمل فهذا غلط قطعا، بل قد أنكر أحمد هذا الجواب، وهو قول من قال: يطلق عليه الإسلام وإن لم يعمل، متابعة لحديث جبريل، فكان ينبغي أن يذكر قول أحمد جميعه. قال إسماعيل بن سعيد: سألت أحمد عن الإسلام والإيمان فقال: الإيمان قول وعمل، والإسلام الإقرار. وقال: وسألت أحمد عمن قال في الذي قال جبريل للنبي صلى الله عليه وسلم إذ سأله عن الإسلام، فإذا فعلت ذلك فأنا مسلم؟ فقال: نعم. فقال قائل: وإن لم يفعل الذي قال جبريل للنبي صلى الله عليه وسلم، فهو مسلم أيضا؟ فقال: هذا معاند للحديث. فقد جعل أحمد من جعله مسلما إذا لم يأت بالخمس معاندا للحديث، مع قوله: إن الإسلام الإقرار، فدل ذلك على أن ذاك أول الدخول في الإسلام، وأنه لا يكون قائما بالإسلام الواجب حتى يأتي بالخمس، وإطلاق الاسم مشروط بها، فإنه ذم من لم يتبع حديث جبريل. وأيضا، فهو في أكثر أجوبته يكفر من لم يأت بالصلاة، بل وبغيرها من المباني، والكافر لا يكون مسلما باتفاق المسلمين، فعلم أنه لم يرد أن الإسلام هو مجرد القول بلا عمل، وإن قدر أنه أراد ذلك، فهذا يكون أنه لا يكفر بترك شيء من المباني الأربعة، وأكثر الروايات عنه بخلاف ذلك، والذين لا يكفرون من ترك هذه المباني يجعلونها من الإسلام؛ كالشافعي ومالك، وأبي حنيفة، وغيرهم، فكيف لا يجعلها أحمد من الإسلام؟ ! وقوله في دخولها في الإسلام أقوى من قول غيره، وقد روي عنه أنه جعل حديث سعد معارضا لحديث عمر، ورجح حديث سعد. قال الحسن بن علي: سألت أحمد بن حنبل عن الإيمان أوكد أو الإسلام؟ قال: جاء حديث عمر هذا، وحديث سعد أحب إلى، كأنه فهم أن حديث عمر يدل على أن الأعمال هي مسمى الإسلام، فيكون مسماه أفضل. وحديث سعد يدل على أن مسمى الإيمان أفضل، ولكن حديث عمر لم يذكر الإسلام إلا الأعمال الظاهرة فقط، وهذه لا تكون إيمانا إلا مع الإيمان الذي في القلب بالله وملائكته وكتبه ورسله، فيكون حينئذ بعض الإيمان، فيكون مسمى الإيمان أفضل كما دل عليه حديث سعد، فلا منافاة بين الحديثين. وأما تفريق أحمد بين الإسلام والإيمان، فكان يقوله تارة، وتارة يحكى الخلاف ولا يجزم به. وكان إذا قرن بينهما تارة يقول: الإسلام الكلمة، وتارة لا يقول ذلك، وكذلك التكفير بترك المباني، كان تارة يكفر بها حتى يغضب، وتارة لا يكفر بها. قال الميموني: قلت: يا أبا عبد الله، تفرق بين الإسلام والإيمان؟ قال: نعم. قلت: بأي شيء تحتج؟ قال: عامة الأحاديث تدل على هذا، ثم قال: " لايزني الزاني حين يزني وهو مؤمن، ولا يسرق السارق حين يسرق وهو مؤمن "، وقال الله تعالى: {قالت الأعراب آمنا قل لم تؤمنوا ولكن قولوا أسلمنا} [الحجرات: 14] . قال: وحماد بن زيد يفرق بين الإسلام والإيمان. قال: وحدثنا أبو سلمة الخزاعي قال: قال مالك وشريك، وذكر قولهم وقول حماد بن زيد: فرق بين الإسلام والإيمان.</t>
  </si>
  <si>
    <t xml:space="preserve">MF-V07-S09-P009</t>
  </si>
  <si>
    <t xml:space="preserve">IMN-S00-P119</t>
  </si>
  <si>
    <t xml:space="preserve">وكذلك قوله في الحديث الصحيح: {ليس من رجل ادعى لغير أبيه وهو يعلمه إلا كفر} وفي حديث آخر: {كفر بالله من تبرأ من نسب وإن دق} وكان من القرآن الذي نسخ لفظه: " لا ترغبوا عن آبائكم فإن كفرا بكم أن ترغبوا عن آبائكم " فإن حق الوالدين مقرون بحق الله في مثل قوله: {أن اشكر لي ولوالديك إلي المصير} وقوله: {وقضى ربك ألا تعبدوا إلا إياه وبالوالدين إحسانا} فالوالد أصله الذي منه خلق والولد من كسبه. كما قال: {ما أغنى عنه ماله وما كسب} فالجحد لهما شعبة من شعب الكفر فإنه جحد لما منه خلقه ربه فقد جحد خلق الرب إياه وقد كان في لغة من قبلنا يسمى الرب أبا فكان فيه كفر بالله من هذا الوجه ولكن ليس هذا كمن جحد الخالق بالكلية وسنتكلم إن شاء الله على سائر الأحاديث. والمقصود هنا ذكر " أصل جامع " تنبني عليه معرفة النصوص ورد ما تنازع فيه الناس إلى الكتاب والسنة فإن الناس كثر نزاعهم في مواضع في مسمى الإيمان والإسلام لكثرة ذكرهما وكثرة كلام الناس فيهما والاسم كلما كثر التكلم فيه فتكلم به مطلقا ومقيدا بقيد ومقيد بقيد آخر في موضع آخر. كان هذا سببا لاشتباه بعض معناه ثم كلما كثر سماعه كثر من يشتبه عليه ذلك. ومن أسباب ذلك أن يسمع بعض الناس بعض موارده ولا يسمع بعضه ويكون ما سمعه مقيدا بقيد أوجبه اختصاصه بمعنى فيظن معناه في سائر موارده كذلك؛ فمن اتبع علمه حتى عرف مواقع الاستعمال عامة وعلم مأخذ الشبه أعطى كل ذي حق حقه وعلم أن خير الكلام كلام الله وأنه لا بيان أتم من بيانه؛ وأن ما أجمع عليه المسلمون من دينهم الذي يحتاجون إليه أضعاف أضعاف ما تنازعوا فيه. فالمسلمون: سنيهم وبدعيهم متفقون على وجوب الإيمان بالله وملائكته وكتبه ورسله واليوم الآخر ومتفقون على وجوب الصلاة والزكاة والصيام والحج ومتفقون على أن من أطاع الله ورسوله فإنه يدخل الجنة؛ ولا يعذب وعلى أن من لم يؤمن بأن محمدا رسول الله - صلى الله عليه وسلم - إليه فهو كافر وأمثال هذه الأمور التي هي أصول الدين وقواعد الإيمان التي اتفق عليها المنتسبون إلى الإسلام والإيمان فتنازعهم بعد هذا في بعض أحكام الوعيد أو بعض معاني بعض الأسماء أمر خفيف بالنسبة إلى ما اتفقوا عليه مع أن المخالفين للحق البين من الكتاب والسنة هم عند جمهور الأمة معروفون بالبدعة؛ مشهود عليهم بالضلالة؛ ليس لهم في الأمة لسان صدق ولا قبول عام كالخوارج والروافض والقدرية ونحوهم وإنما تنازع أهل العلم والسنة في أمور دقيقة تخفى على أكثر الناس؛ ولكن يجب رد ما تنازعوا فيه إلى الله ورسوله. والرد إلى الله ورسوله في " مسألة الإسلام والإيمان " يوجب أن كلا من الاسمين وإن كان مسماه واجبا لا يستحق أحد الجنة إلا بأن يكون مؤمنا مسلما. فالحق في ذلك ما بينه النبي صلى الله عليه وسلم في حديث جبريل فجعل الدين وأهله " ثلاث طبقات ": أولها: الإسلام وأوسطها الإيمان وأعلاها الإحسان ومن وصل إلى العليا فقد وصل إلى التي تليها. فالحسن مؤمن والمؤمن مسلم؛ وأما المسلم فلا يجب أن يكون مؤمنا. وهكذا جاء القرآن فجعل الأمة على هذه الأصناف الثلاثة. قال تعالى: {ثم أورثنا الكتاب الذين اصطفينا من عبادنا فمنهم ظالم لنفسه ومنهم مقتصد ومنهم سابق بالخيرات بإذن الله ذلك هو الفضل الكبير} فالمسلم الذي لم يقم بواجب الإيمان هو الظالم لنفسه والمقتصد هو المؤمن المطلق الذي أدى الواجب وترك المحرم؛ والسابق بالخيرات هو المحسن الذي عبد الله كأنه يراه. وقد ذكر الله سبحانه تقسيم الناس في المعاد إلى هذه الثلاثة في سورة (الواقعة) و (المطففين) و (هل أتى) وذكر الكفار أيضا وأما هنا فجعل التقسيم للمصطفين من عباده. وقال أبو سليمان الخطابي: مما أكثر ما يغلط الناس في " هذه المسألة " فأما الزهري فقال: الإسلام الكلمة والإيمان العمل واحتج بالآية وذهب غيره إلى أن الإسلام والإيمان شيء واحد. فاحتج بقوله: {فأخرجنا من كان فيها من المؤمنين} {فما وجدنا فيها غير بيت من المسلمين} قال الخطابي: وقد تكلم رجلان من أهل العلم وصار كل واحد منهما إلى قول واحد من هذين ورد الآخر منهما على المتقدم وصنف عليه كتابا يبلغ عدد أوراقه المائتين. قال الخطابي: والصحيح من ذلك أن يقيد الكلام في هذا ولا يطلق؛ وذلك أن المسلم قد يكون مؤمنا في بعض الأحوال ولا يكون مؤمنا في بعضها والمؤمن</t>
  </si>
  <si>
    <t xml:space="preserve">يعذب في النار إن لم يغفر الله له ذنوبه؛ ولهذا قال من قال: هو مؤمن بإيمانه فاسق بكبيرته أو مؤمن ناقص الإيمان. والذين لا يسمونه مؤمنا من أهل السنة ومن المعتزلة يقولون: اسم الفسوق ينافي اسم الإيمان لقوله: {بئس الاسم الفسوق بعد الإيمان} [الحجرات: 11] ، وقوله: {أفمن كان مؤمنا كمن كان فاسقا} [السجدة: 18] ، وقد قال النبي صلى الله عليه وسلم: " سباب المسلم فسوق وقتاله كفر ". وعلى هذا الأصل فبعض الناس يكون معه شعبة من شعب الكفر، ومعه إيمان أيضا، وعلى هذا ورد عن النبي صلى الله عليه وسلم في تسمية كثير من الذنوب كفرا، مع أن صاحبها قد يكون معه أكثر من مثقال ذرة من إيمان فلا يخلد في النار. كقوله: " سباب المسلم فسوق وقتاله كفر "، وقوله: " لا ترجعوا بعدي كفارا، يضرب بعضكم رقاب بعض " وهذا مستفيض عن النبي صلى الله عليه وسلم في الصحيح من غير وجه، فإنه أمر في حجة الوداع أن ينادى به في الناس، فقد سمى من يضرب بعضهم رقاب بعض بلا حق كفارا، وسمى هذا الفعل كفرا، ومع هذا فقد قال تعالى: {وإن طائفتان من المؤمنين اقتتلوا فأصلحوا بينهما} إلى قوله: {إنما المؤمنون إخوة} [الحجرات: 9، 10] ، فبين أن هؤلاء لم يخرجوا من الإيمان بالكلية، ولكن فيهم ما هو كفر وهي هذه الخصلة، كما قال بعض الصحابة: كفر دون كفر. وكذلك قوله: " من قال لأخيه: يا كافر، فقد باء بها أحدهما " فقد سماه أخاه حين القول، وقد أخبر أن أحدهما باء بها، فلو خرج أحدهما عن الإسلام بالكلية لم يكن أخاه، بل فيه كفر. وكذلك قوله في الحديث الصحيح: " ليس من رجل ادعى لغير أبيه، وهو يعلمه، إلا كفر "، وفي حديث آخر: " كفر بالله من تبرأ من نسب وإن دق "، وكان من القرآن الذي نسخ لفظه: " لا ترغبوا عن آبائكم فإن كفرا بكم أن ترغبوا عن آبائكم "، فإن حق الوالدين مقرون بحق الله في مثل قوله: {أن اشكر لي ولوالديك إلي المصير} [لقمان: 14] ، وقوله: {وقضى ربك ألا تعبدوا إلا إياه وبالوالدين إحسانا} [الإسراء: 23] ، فالوالد أصله الذي منه خلق، والولد من كسبه. كما قال: {ما أغنى عنه ماله وما كسب} [المسد: 2] ، فالجحد لهما شعبة من شعب الكفر، فإنه جحد لما منه خلقه ربه، فقد جحد خلق الرب إياه، وقد كان في لغة من قبلنا يسمى الرب أبا، فكان فيه كفر بالله من هذا الوجه، ولكن ليس هذا كمن جحد الخالق بالكلية، وسنتكلم إن شاء الله على سائر الأحاديث. والمقصود هنا ذكر أصل جامع تنبني عليه معرفة النصوص، ورد ما تنازع فيه الناس إلى الكتاب والسنة، فإن الناس كثر نزاعهم في مواضع في مسمى الإيمان والإسلام لكثرة ذكرهما، وكثرة كلام الناس فيهما، والاسم كلما كثر التكلم فيه، فتكلم به مطلقا ومقيدا بقيد، ومقيد بقيد آخر في موضع آخر. كان هذا سببا لاشتباه بعض معناه، ثم كلما كثر سماعه كثر من يشتبه عليه ذلك. ومن أسباب ذلك أن يسمع بعض الناس بعض موارده ولا يسمع بعضه، ويكون ما سمعه مقيدا بقيد أوجبه اختصاصه بمعنى، فيظن معناه في سائر موارده كذلك، فمن اتبع علمه حتى عرف مواقع الاستعمال عامة، وعلم مأخذ الشبه أعطى كل ذي حق حقه، وعلم أن خير الكلام كلام الله، وأنه لا بيان أتم من بيانه، وأن ما أجمع عليه المسلمون من دينهم الذي يحتاجون إليه أضعاف أضعاف ما تنازعوا فيه. فالمسلمون سنيهم وبدعيهم متفقون على وجوب الإيمان بالله وملائكته وكتبه ورسله واليوم الآخر، ومتفقون على وجوب الصلاة والزكاة والصيام والحج، ومتفقون على أن من أطاع الله ورسوله فإنه يدخل الجنة، ولا يعذب، وعلى أن من لم يؤمن بأن محمدا رسول الله صلى الله عليه وسلم إليه فهو كافر، وأمثال هذه الأمور التي هي أصول الدين وقواعد الإيمان التي اتفق عليها المنتسبون إلى الإسلام والإيمان، فتنازعهم بعد هذا في بعض أحكام الوعيد أو بعض معاني بعض الأسماء أمر خفيف بالنسبة إلى ما اتفقوا عليه، مع أن المخالفين للحق البين من الكتاب والسنة هم عند جمهور الأمة معروفون بالبدعة، مشهود عليهم بالضلالة، ليس لهم في الأمة لسان صدق ولا قبول عام؛ كالخوارج والروافض والقدرية ونحوهم، وإنما تنازع أهل العلم والسنة في أمور دقيقة تخفى على أكثر الناس؛ ولكن يجب رد ما تنازعوا فيه إلى الله ورسوله والرد إلى الله ورسوله في مسألة [الإسلام، والإيمان] يوجب أن كلا من الاسمين وإن كان مسماه واجبا لا يستحق أحد الجنة إلا بأن يكون مؤمنا، مسلما، فالحق في ذلك ما بينه النبي في حديث جبريل، فجعل الدين وأهله ثلاث طبقات: أولها: الإسلام، وأوسطها: الإيمان، وأعلاها: الإحسان، ومن وصل إلى العليافقد وصل إلى التي تليها، فالمحسن مؤمن والمؤمن مسلم؛ وأما المسلم فلا يجب أن يكون مؤمنا.</t>
  </si>
  <si>
    <t xml:space="preserve">MF-V07-S09-P001</t>
  </si>
  <si>
    <t xml:space="preserve">IMN-S00-P111</t>
  </si>
  <si>
    <t xml:space="preserve">وقوله: {أوثق عرى الإيمان الحب في الله والبغض في الله} . وقوله: {لا إيمان لمن لا أمانة له} يدل على أن بعض الإيمان أوثق وأكمل من بعض وذكر الحديث الذي رواه الترمذي وغيره: {من أحب لله وأبغض لله} الحديث. وكذلك ذكر أبو عمرو الطلمنكي إجماع أهل السنة على أن الإيمان قول وعمل ونية وإصابة السنة. وقال أبو طالب المكي: مباني الإسلام الخمسة: يعني الشهادتين؛ والصلوات الخمس؛ والزكاة وصيام شهر رمضان؛ والحج. قال وأركان الإيمان سبعة: يعني الخمسة المذكورة في حديث جبرائيل والإيمان بالقدر؛ والإيمان بالجنة والنار وكلاهما قد رويت في حديث جبريل كما سنذكر إن شاء الله تعالى. قال: والإيمان بأسماء الله تعالى وصفاته؛ والإيمان بكتب الله وأنبيائه والإيمان بالملائكة والشياطين؛ يعني - والله أعلم - الإيمان بالفرق بينهما؛ فإن من الناس من يجعلهما جنسا واحدا؛ لكن تختلف باختلاف الأعمال كما يختلف الإنسان البر والفاجر والإيمان بالجنة والنار؛ وأنهما قد خلقتا قبل آدم. والإيمان بالبعث بعد الموت والإيمان بجميع أقدار الله خيرها وشرها وحلوها ومرها؛ إنها من الله قضاء وقدرا ومشيئة وحكما وأن ذلك عدل منه وحكمة بالغة؛ استأثر بعلم غيبها ومعنى حقائقها. قال: وقد قال قائلون: إن الإيمان هو الإسلام وهذا قد أذهب التفاوت والمقامات وهذا يقرب من مذهب المرجئة: وقال آخرون: إن الإسلام غير الإيمان وهؤلاء قد أدخلوا التضاد والتغاير وهذا قريب من قول الإباضية؛ فهذه مسألة مشكلة تحتاج إلى شرح وتفصيل فمثل الإسلام من الإيمان كمثل الشهادتين إحداهما من الأخرى في المعنى والحكم فشهادة الرسول غير شهادة الوحدانية فهما شيئان في الأعيان. وإحداهما مرتبطة بالأخرى في المعنى والحكم كشيء واحد كذلك الإيمان والإسلام أحدهما مرتبط بالآخر فهما كشيء واحد لا إيمان لمن لا إسلام له؛ ولا إسلام لمن لا إيمان له إذ لا يخلو المسلم من إيمان به يصح إسلامه ولا يخلو المؤمن من إسلام به يحقق إيمانه من حيث اشترط الله للأعمال الصالحة الإيمان؛ واشترط للإيمان الأعمال الصالحة فقال في تحقيق ذلك {فمن يعمل من الصالحات وهو مؤمن فلا كفران لسعيه} وقال في تحقيق الإيمان بالعمل: {ومن يأته مؤمنا قد عمل الصالحات فأولئك لهم الدرجات العلا} فمن كان ظاهره أعمال الإسلام ولا يرجع إلى عقود الإيمان بالغيب فهو منافق نفاقا ينقل عن الملة ومن كان عقده الإيمان بالغيب ولا يعمل بأحكام الإيمان وشرائع الإسلام فهو كافر كفرا لا يثبت معه توحيد؛ ومن كان مؤمنا بالغيب مما أخبرت به الرسل عن الله عاملا بما أمر الله فهو مؤمن مسلم؛ ولولا أنه كذلك لكان المؤمن يجوز أن لا يسمى مسلما؛ ولجاز أن المسلم لا يسمى مؤمنا بالله. وقد أجمع أهل القبلة على أن كل مؤمن مسلم؛ وكل مسلم مؤمن بالله وملائكته وكتبه قال: ومثل الإيمان في الأعمال كمثل القلب في الجسم لا ينفك أحدهما عن الآخر؛ لا يكون ذو جسم حي لا قلب له؛ ولا ذو قلب بغير جسم؛ فهما شيئان منفردان؛ وهما في الحكم والمعنى منفصلان؛ ومثلهما أيضا مثل حبة لها ظاهر وباطن وهي واحدة. لا يقال: حبتان: لتفاوت صفتهما. فكذلك أعمال الإسلام من الإسلام هو ظاهر الإيمان؛ وهو من أعمال الجوارح؛ والإيمان باطن الإسلام وهو من أعمال القلوب. وروي عن النبي صلى الله عليه وسلم أنه قال: {الإسلام علانية؛ والإيمان في القلب} وفي لفظ: {الإيمان سر} فالإسلام أعمال الإيمان؛ والإيمان عقود الإسلام؛ فلا إيمان إلا بعمل؛ ولا عمل إلا بعقد. ومثل ذلك مثل العمل الظاهر والباطن؛ أحدهما مرتبط بصاحبه من أعمال القلوب وعمل الجوارح؛ ومثله قول رسول الله صلى الله عليه وسلم {إنما الأعمال بالنيات} أي لا عمل إلا بعقد وقصد لأن " إنما " تحقيق للشيء ونفي لما سواه؛ فأثبت بذلك عمل الجوارح من المعاملات؛ وعمل القلوب من النيات؛ فمثل العمل من الإيمان كمثل الشفتين من اللسان لا يصح الكلام إلا بهما؛ لأن الشفتين تجمع الحروف؛ واللسان يظهر الكلام؛ وفي سقوط أحدهما بطلان الكلام؛ وكذلك في سقوط العمل ذهاب الإيمان؛ ولذلك حين عدد الله نعمه على الإنسان بالكلام ذكر الشفتين مع اللسان في قوله: {ألم نجعل له عينين} {ولسانا وشفتين} بمعنى ألم نجعله ناظرا متكلما؛ فعبر عن الكلام باللسان والشفتين لأنهما مكان له وذكر الشفتين؛ لأن الكلام الذي جرت به النعمة لا يتم إلا بهما. ومثل " الإيمان " و " الإسلام " أيضا كفسطاط قائم في الأرض له ظاهر</t>
  </si>
  <si>
    <t xml:space="preserve">قال: وقد قال قائلون: إن الإيمان هو الإسلام، وهذا قد أذهب التفاوت والمقامات، وهذا يقرب من مذهب المرجئة. وقال آخرون: إنالإسلام غير الإيمان، وهؤلاء قد أدخلوا التضاد والتغاير، وهذا قريب من قول الأباضية، فهذه مسألة مشكلة تحتاج إلى شرح وتفصيل، فمثل الإسلام من الإيمان، كمثل الشهادتين أحدهما من الأخرى في المعنى والحكم، فشهادة الرسول غير شهادة الوحدانية، فهما شيئان في الأعيان، وإحداهما مرتبطة بالأخرى في المعنى والحكم كشيء واحد، كذلك الإيمان والإسلام أحدهما مرتبط بالآخر، فهما كشيء واحد، لا إيمان لمن لا إسلام له، ولا إسلام لمن لا إيمان له، إذ لا يخلو المسلم من إيمان به يصح إسلامه، ولا يخلو المؤمن من إسلام به يحقق إيمانه، من حيث اشترط الله للأعمال الصالحة الإيمان، واشترط للإيمان الأعمال الصالحة، فقال في تحقيق ذلك: {فمن يعمل من الصالحات وهو مؤمن فلا كفران لسعيه} [الأنبياء: 94] ، وقال في تحقيق الإيمان بالعمل: {ومن يأته مؤمنا قد عمل الصالحات فأولئك لهم الدرجات العلى} [طه: 75] ، فمن كان ظاهره أعمال الإسلام ولا يرجع إلى عقود الإيمان بالغيب فهو منافق نفاقا ينقل عن الملة، ومن كان عقده الإيمان بالغيب ولا يعمل بأحكام الإيمان وشرائع الإسلام، فهو كافر كفرا لا يثبت معه توحيد، ومن كان مؤمنا بالغيب مما أخبرت به الرسل عن الله عاملا بما أمر الله، فهو مؤمن مسلم، ولولا أنه كذلك لكان المؤمن يجوز ألا يسمى مسلما، ولجاز أن المسلم لا يسمى مؤمنا بالله. وقد أجمع أهل القبلة على أن كل مؤمن مسلم، وكل مسلم مؤمن بالله وملائكته وكتبه، قال: ومثل الإيمان في الأعمال كمثل القلب في الجسم لا ينفك أحدهما عن الآخر، لا يكون ذو جسم حي لا قلب له، ولا ذو قلب بغير جسم، فهما شيئان منفردان، وهما في الحكم والمعنى منفصلان، ومثلهما أيضا مثل حبة لها ظاهر وباطن وهي واحدة، لا يقال: حبتان لتفاوت صفتهما. فكذلك أعمال الإسلام من الإسلام هو ظاهر الإيمان، وهو من أعمال الجوارح، والإيمان باطن الإسلام وهو من أعمال القلوب. وروى عن النبي صلى الله عليه وسلم أنه قال: " الإسلام علانية، والإيمان في القلب " وفي لفظ: " الإيمان سر " فالإسلام أعمال الإيمان، والإيمان عقود الإسلام، فلا إيمان إلا بعمل، ولا عمل إلا بعقد. ومثل ذلك مثل العمل الظاهر والباطن، أحدهما مرتبط بصاحبه من أعمال القلوب وعمل الجوارح، ومثله قول رسول الله صلى الله عليه وسلم: " إنما الأعمال بالنيات " أي: لا عمل إلا بعقد وقصد؛ لأن [إنما] تحقيق للشيء ونفي لما سواه، فأثبت بذلك عمل الجوارح من المعاملات، وعمل القلوب من النيات، فمثل العمل من الإيمان كمثل الشفتين من اللسان لا يصح الكلام إلا بهما؛ لأن الشفتين تجمع الحروف، واللسان يظهر الكلام، وفي سقوط أحدهما بطلان الكلام، وكذلك في سقوط العمل ذهاب الإيمان؛ ولذلك حين عدد الله نعمه على الإنسان بالكلام ذكر الشفتين مع اللسان في قوله: {ألم نجعل له عينين ولسانا وشفتين} [البلد: 8، 9] بمعنى: ألم نجعله ناظرا متكلما، فعبر عن الكلام باللسان والشفتين لأنهما مكان له وذكر الشفتين؛ لأن الكلام الذي جرت به النعمة لا يتم إلا بهما. ومثل الإيمان والإسلام أيضا كفسطاط قائم في الأرض له ظاهر وأطناب، وله عمود في باطنه، فالفسطاط مثل الإسلام له أركان من أعمال العلانية والجوارح، وهي الأطناب التي تمسك أرجاء الفسطاط، والعمود الذي في وسط الفسطاط مثله كالإيمان لا قوام للفسطاط إلا به. فقد احتاج الفسطاط إليها، إذ لا قوام له ولا قوة إلا بهما، كذلك الإسلام في أعمال الجوارح لا قوام له إلا بالإيمان، والإيمان من أعمال القلوب لا نفع له إلا بالإسلام، وهو صالح الأعمال. وأيضا، فإن الله قد جعل ضد الإسلام والإيمان واحدا، فلولا أنهما كشيء واحد في الحكم والمعني ما كان ضدهما واحدا فقال: {كيف يهدي الله قوما كفروا بعد إيمانهم} [آل عمران: 86] ، وقال: {أيأمركم بالكفر بعد إذ أنتم مسلمون} [آل عمران: 80] فجعل ضدهما الكفر. قال: وعلى مثل هذا أخبر رسول الله صلى الله عليه وسلم عن الإيمان، والإسلام من صنف واحد، فقال في حديث ابن عمر: " بني الإسلام على خمس "، وقال في حديث ابن عباس عن وفد عبد القيس أنهم سألوه عن الإيمان فذكر هذه الأوصاف، فدل بذلك على أنه لا إيمان باطن إلا بإسلام ظاهر، ولا إسلام ظاهر علانية إلا بإيمان سر، وأن الإيمان والعمل قرينان، لا ينفع أحدهما بدون صاحبه.</t>
  </si>
  <si>
    <t xml:space="preserve">MF-V07-S00-P003</t>
  </si>
  <si>
    <t xml:space="preserve">IMN-S00-P003</t>
  </si>
  <si>
    <t xml:space="preserve">لا ينفي اسم مسمى أمر - أمر الله به ورسوله - إلا إذا ترك بعض واجباته كقوله: {لا صلاة إلا بأم القرآن} . وقوله: {لا إيمان لمن لا أمانة له، ولا دين لمن لا عهد له} ونحو ذلك فأما إذا كان الفعل مستحبا في " العبادة " لم ينفها لانتفاء المستحب فإن هذا لو جاز؛ لجاز أن ينفي عن جمهور المؤمنين اسم الإيمان والصلاة والزكاة والحج؛ لأنه ما من عمل إلا وغيره أفضل منه وليس أحد يفعل أفعال البر مثل ما فعلها النبي صلى الله عليه وسلم بل ولا أبو بكر ولا عمر. فلو كان من لم يأت بكمالها المستحب يجوز نفيها عنه؛ لجاز أن ينفى عن جمهور المسلمين من الأولين والآخرين، وهذا لا يقوله عاقل. فمن قال: إن المنفي هو الكمال فإن أراد أنه نفي " الكمال الواجب " الذي يذم تاركه ويتعرض للعقوبة؛ فقد صدق. وإن أراد أنه نفي " الكمال المستحب " فهذا لم يقع قط في كلام الله ورسوله ولا يجوز أن يقع فإن من فعل الواجب كما وجب عليه ولم ينتقص من واجبه شيئا؛ لم يجز أن يقال: ما فعله لا حقيقة ولا مجازا. فإذا {قال للأعرابي المسيء في صلاته: ارجع فصل فإنك لم تصل} . {وقال لمن صلى خلف الصف - وقد أمره بالإعادة: لا صلاة لفذ خلف الصف} كان لترك واجب. وكذلك قوله تعالى {إنما المؤمنون الذين آمنوا بالله ورسوله ثم لم يرتابوا وجاهدوا بأموالهم وأنفسهم في سبيل الله أولئك هم الصادقون} يبين أن الجهاد واجب وترك الارتياب واجب. والجهاد - وإن كان فرضا على الكفاية - فجميع المؤمنين يخاطبون به ابتداء فعليهم كلهم اعتقاد وجوبه والعزم على فعله إذا تعين؛ ولهذا {قال النبي صلى الله عليه وسلم من مات ولم يغز ولم يحدث نفسه بغزو مات على شعبة نفاق} رواه مسلم. فأخبر أنه من لم يهم به؛ كان على شعبة نفاق. " وأيضا " فالجهاد جنس تحته أنواع متعددة ولا بد أن يجب على المؤمن نوع من أنواعه. وكذلك قوله: {إنما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 هذا كله واجب؛ فإن التوكل على الله واجب من أعظم الواجبات كما أن الإخلاص لله واجب وحب الله ورسوله واجب. وقد أمر الله بالتوكل في غير آية أعظم مما أمر بالوضوء والغسل من الجنابة ونهى عن التوكل على غير الله قال تعالى: {فاعبده وتوكل عليه} . وقال تعالى: {الله لا إله إلا هو وعلى الله فليتوكل المؤمنون} . وقال تعالى: {إن ينصركم الله فلا غالب لكم وإن يخذلكم فمن ذا الذي ينصركم من بعده وعلى الله فليتوكل المؤمنون} . وقال تعالى: {وقال موسى يا قوم إن كنتم آمنتم بالله فعليه توكلوا إن كنتم مسلمين} . وأما قوله: {الذين إذا ذكر الله وجلت قلوبهم وإذا تليت عليهم آياته زادتهم إيمانا} . فيقال: من أحوال القلب وأعماله ما يكون من لوازم الإيمان الثابتة فيه بحيث إذا كان الإنسان مؤمنا؛ لزم ذلك بغير قصد منه ولا تعمد له وإذا لم يوجد؛ دل على أن الإيمان الواجب لم يحصل في القلب وهذا كقوله تعالى: {لا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 فأخبر أنك لا تجد مؤمنا يواد المحادين لله ورسوله فإن نفس الإيمان ينافي موادته كما ينفي أحد الضدين الآخر فإذا وجد الإيمان انتفى ضده وهو موالاة أعداء الله فإذا كان الرجل يوالي أعداء الله بقلبه؛ كان ذلك دليلا على أن قلبه ليس فيه الإيمان الواجب. ومثله قوله تعالى في الآية الأخرى: {ترى كثيرا منهم يتولون الذين كفروا لبئس ما قدمت لهم أنفسهم أن سخط الله عليهم وفي العذاب هم خالدون} {ولو كانوا يؤمنون بالله والنبي وما أنزل إليه ما اتخذوهم أولياء ولكن كثيرا منهم فاسقون} . فذكر " جملة شرطية " تقتضي أنه إذا وجد الشرط وجد المشروط بحرف " لو " التي تقتضي مع الشرط انتفاء المشروط فقال: {ولو كانوا يؤمنون بالله والنبي وما أنزل إليه ما اتخذوهم أولياء} . فدل على أن الإيمان المذكور ينفي اتخاذهم أولياء ويضاده ولا يجتمع الإيمان واتخاذهم أولياء في القلب. ودل ذلك على أن من اتخذهم أولياء؛ ما فعل الإيمان الواجب من الإيمان بالله والنبي وما أنزل إليه. ومثله قوله تعالى {لا تتخذوا اليهود والنصارى أولياء بعضهم أولياء بعض ومن يتولهم منكم فإنه منهم} . فإنه أخبر في تلك الآيات أن متوليهم لا يكون</t>
  </si>
  <si>
    <t xml:space="preserve">ويذكر أيضا لفظ المؤمنين مقرونا بالذين هادوا والنصارى والصابئين، ثم يقول: {من آمن بالله واليوم الآخر وعمل صالحا فلهم أجرهم عند ربهم ولا خوف عليهم ولا هم يحزنون} [البقرة: 62] ، فالمؤمنون في ابتداء الخطاب غير الثلاثة، والإيمان الآخر عمهم؛ كما عمهم في قوله: {إن الذين آمنوا وعملوا الصالحات أولئك هم خير البرية} وسنبسط هذا إن شاء الله تعالى. فالمقصود هنا العموم والخصوص بالنسبة إلى ما في الباطن والظاهر من الإيمان. وأما العموم بالنسبة إلى الملل، فتلك مسألة أخرى. فلما ذكر الإيمان مع الإسلام، جعل الإسلام هو الأعمال الظاهرة: الشهادتان، والصلاة، والزكاة، والصيام، والحج. وجعل الإيمان ما في القلب من الإيمان بالله، وملائكته، وكتبه، ورسله، واليوم الآخر. وهكذا في الحديث الذي رواه أحمد، عن أنس، عن النبي صلى الله عليه وسلم أنه قال: " الإسلام علانية، والإيمان في القلب ". وإذا ذكر اسم الإيمان مجردا، دخل فيه الإسلام والأعمال الصالحة، كقوله في حديث الشعب: " الإيمان بضع وسبعون شعبة، أعلاها: قول لا إله إلا الله، وأدناها: إماطة الأذى عن الطريق ". وكذلك سائر الأحاديث التي يجعل فيها أعمال البر من الإيمان. ثم إن نفي [الإيمان] عند عدمها، دل على أنها واجبة، وإن ذكر فضل إيمان صاحبها ولم ينف إيمانه دل على أنها مستحبة؛ فإن الله ورسوله لا ينفي اسم مسمى أمر أمر الله به، ورسوله إلا إذا ترك بعض واجباته، كقوله: " لا صلاة إلا بأم القرآن "، وقوله: " لا إيمان لمن لا أمانة له، ولا دين لمن لا عهد له " ونحو ذلك. فأما إذا كان الفعل مستحبا في العبادة لم ينفها لانتفاء المستحب، فإن هذا لو جاز، لجاز أن ينفي عن جمهور المؤمنين اسم الإيمان والصلاة والزكاة والحج؛ لأنه ما من عمل إلا وغيره أفضل منه. وليس أحد يفعل أفعال البر مثل ما فعلها النبي صلى الله عليه وسلم؛ بل ولا أبو بكر ولا عمر. فلو كان من لم يأت بكمالها المستحب يجوز نفيها عنه، لجاز أن ينفي عن جمهور المسلمين من الأولين والآخرين، وهذا لا يقوله عاقل. فمن قال: إن المنفي هو الكمال، فإن أراد أنه نفي الكمال الواجب الذي يذم تاركه، ويتعرض للعقوبة، فقد صدق. وإن أراد أنه نفي الكمال المستحب، فهذا لم يقع قط في كلام الله ورسوله، ولا يجوز أن يقع؛ فإن من فعل الواجب كما وجب عليه، ولم ينتقص من واجبه شيئا، لم يجز أن يقال: ما فعله لا حقيقة ولا مجازا. فإذا قال للأعرابي المسيء في صلاته: " ارجع فصل، فإنك لم تصل "، وقال لمن صلى خلف الصف وقد أمره بالإعادة: " لا صلاة لفذ خلف الصف " كان لترك واجب، وكذلك قوله تعالى: {إنما المؤمنون الذين آمنوا بالله ورسوله ثم لم يرتابوا وجاهدوا بأموالهم وأنفسهم في سبيل الله أولئك هم الصادقون} [الحجرات: 15] ، يبين أن الجهاد واجب، وترك الارتياب واجب. والجهاد وإن كان فرضا على الكفاية فجميع المؤمنين يخاطبون به ابتداء، فعليهم كلهم اعتقاد وجوبه، والعزم على فعله إذا تعين؛ ولهذا قال النبي صلى الله عليه وسلم: " من مات ولم يغزولم يحدث نفسه بغزو، مات على شعبة نفاق " رواه مسلم. فأخبر أنه من لم يهم به، كان على شعبة نفاق. وأيضا، فالجهاد جنس، تحته أنواع متعددة، ولابد أن يجب على المؤمن نوع من أنواعه. وكذلك قوله: {إنما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[الأنفال: 2-4] . هذا كله واجب؛ فإن التوكل على الله واجب من أعظم الواجبات، كما أن الإخلاص لله واجب، وحب الله ورسوله واجب. وقد أمر الله بالتوكل في غير آية أعظم مما أمر بالوضوء والغسل من الجنابة، ونهى عن التوكل على غير الله، قال تعالى: {فاعبده وتوكل عليه} [هود: 123] ، وقال تعالى: {الله لا إله إلا هو وعلى الله فليتوكل المؤمنون} [التغابن: 13] ، وقال تعالى: {إن ينصركم الله فلا غالب لكم وإن يخذلكم فمن ذا الذي ينصركم من بعده وعلى الله فليتوكل المؤمنون} [آل عمران: 160] ، وقال تعالى: {وقال موسى يا قوم إن كنتم آمنتم بالله فعليه توكلوا إن كنتم مسلمين} [يونس: 84] .</t>
  </si>
  <si>
    <t xml:space="preserve">MF-V07-S07-P003</t>
  </si>
  <si>
    <t xml:space="preserve">IMN-S00-P090</t>
  </si>
  <si>
    <t xml:space="preserve">وما الإسلام قال: أن تسلم قلبك لله ويسلم المسلمون من لسانك ويدك قال: فأي الإسلام أفضل؟ قال: الإيمان قال: وما الإيمان؟ قال: أن تؤمن بالله وملائكته وكتبه ورسله وبالبعث بعد الموت قال: فأي الإيمان أفضل؟ قال: الهجرة قال: وما الهجرة؟ قال: أن تهجر السوء قال: فأي الهجرة أفضل؟ قال: الجهاد قال: وما الجهاد؟ قال: أن تجاهد الكفار إذا لقيتهم ولا تغل ولا تجبن ثم قال رسول الله صلى الله عليه وسلم. ثم عملان هما أفضل الأعمال إلا من عمل بمثلهما قالها ثلاثا: حجة مبرورة: أو عمرة} وقوله: {هما أفضل الأعمال} أي بعد الجهاد؛ لقوله: {ثم عملان} ففي هذا الحديث جعل الإيمان خصوصا في الإسلام والإسلام أعم منه كما جعل الهجرة خصوصا في الإيمان والإيمان أعم منها وجعل الجهاد خصوصا من الهجرة والهجرة أعم منه. فالإسلام أن تعبد الله وحده لا شريك له مخلصا له الدين. وهذا دين الله الذي لا يقبل من أحد دينا غيره لا من الأولين ولا من الآخرين ولا تكون عبادته مع إرسال الرسل إلينا إلا بما أمرت به رسله لا بما يضاد ذلك فإن ضد ذلك معصية وقد ختم الله الرسل بمحمد صلى الله عليه وسلم فلا يكون مسلما إلا من شهد أن لا إله إلا الله وأن محمدا عبده ورسوله وهذه الكلمة بها يدخل الإنسان في الإسلام. فمن قال: الإسلام الكلمة وأراد هذا فقد صدق ثم لا بد من التزام ما أمر به الرسول من الأعمال الظاهرة كالمباني الخمس ومن ترك من ذلك شيئا نقص إسلامه بقدر ما نقص من ذلك كما في الحديث: {من انتقص منهن شيئا فهو سهم من الإسلام تركه} . وهذه الأعمال إذا عملها الإنسان مخلصا لله تعالى فإنه يثيبه عليها ولا يكون ذلك إلا مع إقراره بقلبه أنه لا إله إلا الله وأن محمدا رسول الله فيكون معه من الإيمان هذا الإقرار وهذا الإقرار لا يستلزم أن يكون صاحبه معه من اليقين ما لا يقبل الريب ولا أن يكون مجاهدا ولا سائر ما يتميز به المؤمن عن المسلم الذي ليس بمؤمن وخلق كثير من المسلمين باطنا وظاهرا معهم هذا الإسلام بلوازمه من الإيمان ولم يصلوا إلى اليقين والجهاد فهؤلاء يثابون على إسلامهم وإقرارهم بالرسول مجملا وقد لا يعرفون أنه جاء بكتاب وقد لا يعرفون أنه جاءه ملك ولا أنه أخبر بكذا وإذا لم يبلغهم أن الرسول أخبر بذلك لم يكن عليهم الإقرار المفصل به لكن لا بد من الإقرار بأنه رسول الله وأنه صادق في كل ما يخبر به عن الله. ثم الإيمان الذي يمتاز به فيه تفصيل وفيه طمأنينة ويقين فهذا متميز بصفته وقدره في الكمية والكيفية فإن أولئك معهم من الإيمان بالله وملائكته وكتبه ورسله وتفصيل المعاد والقدر ما لا يعرفه هؤلاء. وأيضا ففي قلوبهم من اليقين والثبات ولزوم التصديق لقلوبهم ما ليس مع هؤلاء وأولئك هم المؤمنون حقا، وكل مؤمن لا بد أن يكون مسلما؛ فإن الإيمان يستلزم الأعمال وليس كل مسلم مؤمنا هذا الإيمان المطلق لأن الاستسلام لله والعمل له لا يتوقف على هذا الإيمان الخاص وهذا الفرق يجده الإنسان من نفسه ويعرفه من غيره فعامة الناس إذا أسلموا بعد كفر أو ولدوا على الإسلام والتزموا شرائعه وكانوا من أهل الطاعة لله ورسوله فهم مسلمون ومعهم إيمان مجمل ولكن دخول حقيقة الإيمان إلى قلوبهم إنما يحصل شيئا فشيئا إن أعطاهم الله ذلك وإلا فكثير من الناس لا يصلون لا إلى اليقين ولا إلى الجهاد ولو شككوا لشكوا ولو أمروا بالجهاد لما جاهدوا وليسوا كفارا ولا منافقين بل ليس عندهم من علم القلب ومعرفته ويقينه ما يدرأ الريب ولا عندهم من قوة الحب لله ولرسوله ما يقدمونه على الأهل والمال وهؤلاء إن عرفوا من المحنة وماتوا دخلوا الجنة. وإن ابتلوا بمن يورد عليهم شبهات توجب ريبهم فإن لم ينعم الله عليهم بما يزيل الريب وإلا صاروا مرتابين وانتقلوا إلى نوع من النفاق. وكذلك إذا تعين عليهم الجهاد ولم يجاهدوا كانوا من أهل الوعيد ولهذا لما قدم النبي صلى الله عليه وسلم المدينة أسلم عامة أهلها فلما جاءت المحنة والابتلاء نافق من نافق. فلو مات هؤلاء قبل الامتحان لماتوا على الإسلام ودخلوا الجنة ولم يكونوا من المؤمنين حقا الذين ابتلوا فظهر صدقهم. قال تعالى: {الم} {أحسب الناس أن يتركوا أن يقولوا آمنا وهم لا يفتنون} {ولقد فتنا الذين من قبلهم فليعلمن الله الذين صدقوا وليعلمن الكاذبين} وقال تعالى: {ما كان الله ليذر المؤمنين على ما أنتم عليه حتى يميز الخبيث من الطيب} وقال: {ومن الناس من يعبد الله على حرف فإن أصابه خير اطمأن به وإن أصابته فتنة انقلب على وجهه</t>
  </si>
  <si>
    <t xml:space="preserve">وهذه الأعمال إذا عملها الإنسان مخلصا لله تعالى فإنه يثيبه عليها، ولا يكون ذلك إلا مع إقراره بقلبه أنه لا إله إلا الله وأن محمدا رسول الله، فيكون معه من الإيمان هذا الإقرار، وهذا الإقرار لا يستلزم أن يكون صاحبه معه من اليقين ما لا يقبل الريب، ولا أن يكون مجاهدا ولا سائر ما يتميز به المؤمن عن المسلم الذي ليس بمؤمن، وخلق كثير من المسلمين باطنا وظاهرا معهم هذا الإسلام بلوازمه من الإيمان، ولم يصلوا إلى اليقين والجهاد، فهؤلاء يثابون على إسلامهم وإقرارهم بالرسول مجملا، وقد لا يعرفون أنه جاء بكتاب، وقد لا يعرفون أنه جاءه ملك، ولا أنه أخبر بكذا، وإذا لم يبلغهم أن الرسول أخبر بذلك لم يكن عليهم الإقرار المفصل به، لكن لابد من الإقرار بأنه رسول الله، وأنه صادق في كل ما يخبر به عن الله. ثم الإيمان الذي يمتاز به فيه تفصيل، وفيه طمأنينة ويقين، فهذا متميز بصفته وقدره في الكمية والكيفية، فإن أولئك معهم من الإيمان بالله وملائكته وكتبه ورسله وتفصيل المعاد والقدر ما لا يعرفه هؤلاء. وأيضا، ففي قلوبهم من اليقين والثبات ولزوم التصديق لقلوبهم ما ليس مع هؤلاء، وأولئك هم المؤمنون حقا، وكل مؤمن لابد أن يكون مسلما، فإن الإيمان يستلزم الأعمال، وليس كل مسلم مؤمنا هذا الإيمان المطلق؛ لأن الاستسلام لله والعمل له لا يتوقف على هذا الإيمان الخاص، وهذا الفرق يجده الإنسان من نفسه ويعرفه من غيره، فعامة الناس إذا أسلموا بعد كفر أو ولدوا على الإسلام والتزموا شرائعه، وكانوا من أهل الطاعة لله ورسوله، فهم مسلمون ومعهم إيمان مجمل، ولكن دخول حقيقة الإيمان إلى قلوبهم إنما يحصل شيئا فشيئا إن أعطاهم الله ذلك، وإلا فكثير من الناس لا يصلون لا إلى اليقين ولا إلى الجهاد، ولو شككوا لشكوا، ولو أمروا بالجهاد لما جاهدوا، وليسوا كفارا ولا منافقين، بل ليس عندهم من علم القلب ومعرفته ويقينه ما يدرأ الريب، ولا عندهم من قوة الحب لله ولرسوله ما يقدمونه على الأهل والمال، وهؤلاء إن عوفوا من المحنة وماتوا دخلوا الجنة، وإن ابتلوا بمن يورد عليهم شبهات توجب ريبهم، فإن لم ينعم الله عليهم بما يزيل الريب، وإلا صاروا مرتابين، وانتقلوا إلى نوع من النفاق. وكذلك إذا تعين عليهم الجهاد ولم يجاهدوا، كانوا من أهل الوعيد؛ ولهذا لما قدم النبي صلى الله عليه وسلم المدينة أسلم عامة أهلها، فلما جاءت المحنة والابتلاء نافق من نافق. فلو مات هؤلاء قبل الامتحان لماتوا على الإسلام ودخلوا الجنة، ولم يكونوا من المؤمنين حقا الذين ابتلوا فظهر صدقهم، قال تعالى: {الم أحسب الناس أن يتركوا أن يقولوا آمنا وهم لا يفتنون ولقد فتنا الذين من قبلهم فليعلمن الله الذين صدقوا وليعلمن الكاذبين} [العنكبوت: 1: 3] ، وقال تعالى: {ما كان الله ليذر المؤمنين على مآ أنتم عليه حتى يميز الخبيث من الطيب} [آل عمران: 179] ، وقال: {ومن الناس من يعبد الله على حرف فإن أصابه خير اطمأن به وإن أصابته فتنة انقلب على وجهه خسر الدنيا والآخرة ذلك هو الخسران المبين} [الحج: 11] ؛ ولهذا ذم الله المنافقين بأنهم دخلوا في الإيمان ثم خرجوا منه بقوله تعالى: {والله يشهد إن المنافقين لكاذبون اتخذوا أيمانهم جنة فصدوا عن سبيل الله} إلى قوله: {ذلك بأنهم آمنوا ثم كفروا فطبع على قلوبهم فهم لا يفقهون} [المنافقون: 1، 3] ، وقال في الآية الأخرى: {يحذر المنافقون أن تنزل عليهم سورة} إلى قوله: {قل أبالله وآياته ورسوله كنتم تستهزؤون لا تعتذروا قد كفرتم بعد إيمانكم إن نعف عن طآئفة منكم نعذب طآئفة بأنهم كانوا مجرمين} [التوبة: 64: 66] ، فقد أمره أن يقول لهم: قد كفرتم بعد إيمانكم. وقول من يقول عن مثل هذه الآيات: إنهم كفروا بعد إيمانهم بلسانهم مع كفرهم أولا بقلوبهم، لا يصح؛ لأن الإيمان باللسان مع كفر القلب قد قارنه الكفر، فلا يقال: قد كفرتم بعد إيمانكم، فإنهم لم يزالوا كافرين في نفس الأمر، وإن أريد أنكم أظهرتم الكفر بعد إظهاركم الإيمان، فهم لم يظهروا للناس إلا لخواصهم، وهم مع خواصهم مازالوا هكذا، بل لما نافقوا وحذروا أن تنزل سورة تبين ما في قلوبهم من النفاق، وتكلموا بالاستهزاء، صاروا كافرين بعد إيمانهم، ولا يدل اللفظ على أنهم ما زالوا منافقين، وقد قال تعالى: {يا أيها النبي جاهد الكفار والمنافقين واغلظ عليهم ومأواهم جهنم وبئس المصير يحلفون بالله ما قالوا ولقد قالوا كلمة الكفر وكفروا بعد إسلامهم وهموا بما لم ينالوا وما نقموا إلا أن أغناهم الله ورسوله من فضله فإن يتوبوا يك خيرا لهم وإن</t>
  </si>
  <si>
    <t xml:space="preserve">MF-V07-S07-P004</t>
  </si>
  <si>
    <t xml:space="preserve">IMN-S00-P091</t>
  </si>
  <si>
    <t xml:space="preserve">خسر الدنيا والآخرة ذلك هو الخسران المبين} ولهذا ذم الله المنافقين بأنهم دخلوا في الإيمان ثم خرجوا منه بقوله تعالى: {والله يشهد إن المنافقين لكاذبون} {اتخذوا أيمانهم جنة فصدوا عن سبيل الله} - إلى قوله - {ذلك بأنهم آمنوا ثم كفروا فطبع على قلوبهم فهم لا يفقهون} وقال في الآية الأخرى {يحذر المنافقون أن تنزل عليهم سورة} - إلى قوله - {قل أبالله وآياته ورسوله كنتم تستهزئون} {لا تعتذروا قد كفرتم بعد إيمانكم إن نعف عن طائفة منكم نعذب طائفة بأنهم كانوا مجرمين} فقد أمره أن يقول لهم: قد كفرتم بعد إيمانكم. وقول من يقول عن مثل هذه الآيات: إنهم كفروا بعد إيمانهم بلسانهم مع كفرهم أولا بقلوبهم لا يصح لأن الإيمان باللسان مع كفر القلب قد قارنه الكفر فلا يقال: قد كفرتم بعد إيمانكم فإنهم لم يزالوا كافرين في نفس الأمر وإن أريد أنكم أظهرتم الكفر بعد إظهاركم الإيمان فهم لم يظهروا للناس إلا لخواصهم وهم مع خواصهم ما زالوا هكذا؛ بل لما نافقوا وحذروا أن تنزل سورة تبين ما في قلوبهم من النفاق وتكلموا بالاستهزاء صاروا كافرين بعد إيمانهم ولا يدل اللفظ على أنهم ما زالوا منافقين وقد قال تعالى: {يا أيها النبي جاهد الكفار والمنافقين واغلظ عليهم ومأواهم جهنم وبئس المصير} {يحلفون بالله ما قالوا ولقد قالوا كلمة الكفر وكفروا بعد إسلامهم وهموا بما لم ينالوا وما نقموا إلا أن أغناهم الله ورسوله من فضله فإن يتوبوا يك خيرا لهم وإن يتولوا يعذبهم الله عذابا أليما في الدنيا والآخرة} فهنا قال: {وكفروا بعد إسلامهم} . فهذا الإسلام قد يكون من جنس إسلام الأعراب فيكون قوله: {بعد إيمانكم} وبعد إسلامهم سواء وقد يكونون ما زالوا منافقين فلم يكن لهم حال كان معهم فيها من الإيمان شيء لكونهم أظهروا الكفر والردة. ولهذا دعاهم إلى التوبة فقال: {فإن يتوبوا يك خيرا لهم وإن يتولوا} بعد التوبة عن التوبة {يعذبهم الله عذابا أليما في الدنيا والآخرة} وهذا إنما هو لمن أظهر الكفر فيجاهده الرسول بإقامة الحد والعقوبة. ولهذا ذكر هذا في سياق قوله: {جاهد الكفار والمنافقين واغلظ عليهم} ولهذا قال في تمامها: {وما لهم في الأرض من ولي ولا نصير} . وهؤلاء الصنف الذين كفروا بعد إسلامهم غير الذين كفروا بعد إيمانهم فإن هؤلاء حلفوا بالله ما قالوا وقد قالوا كلمة الكفر التي كفروا بها بعد إسلامهم وهموا بما لم ينالوا وهو يدل على أنهم سعوا في ذلك فلم يصلوا إلى مقصودهم؛ فإنه لم يقل: هموا بما لم يفعلوا لكن {بما لم ينالوا} فصدر منهم قول وفعل قال تعالى: {ولئن سألتهم ليقولن إنما كنا نخوض ونلعب} فاعترفوا واعتذروا؛ ولهذا قيل: {لا تعتذروا قد كفرتم بعد إيمانكم إن نعف عن طائفة منكم نعذب طائفة بأنهم كانوا مجرمين} فدل على أنهم لم يكونوا عند أنفسهم قد أتوا كفرا بل ظنوا أن ذلك ليس بكفر فبين أن الاستهزاء بالله وآياته ورسوله كفر يكفر به صاحبه بعد إيمانه فدل على أنه كان عندهم إيمان ضعيف ففعلوا هذا المحرم الذي عرفوا أنه محرم ولكن لم يظنوه كفرا وكان كفرا كفروا به فإنهم لم يعتقدوا جوازه وهكذا قال غير واحد من السلف في صفة المنافقين الذين ضرب لهم المثل في سورة البقرة أنهم أبصروا ثم عموا وعرفوا ثم أنكروا وآمنوا ثم كفروا. وكذلك قال قتادة ومجاهد: ضرب المثل لإقبالهم على المؤمنين؛ وسماعهم ما جاء به الرسول وذهاب نورهم قال: {مثلهم كمثل الذي استوقد نارا فلما أضاءت ما حوله ذهب الله بنورهم وتركهم في ظلمات لا يبصرون} {صم بكم عمي فهم لا يرجعون} إلى ما كانوا عليه. وأما قول من قال: المراد بالنور ما حصل في الدنيا من حقن دمائهم وأموالهم فإذا ماتوا سلبوا ذلك الضوء كما سلب صاحب النار ضوءه؛ فلفظ الآية يدل على خلاف ذلك فإنه قال: {وتركهم في ظلمات لا يبصرون} {صم بكم عمي فهم لا يرجعون} . ويوم القيامة يكونون في العذاب كما قال تعالى: {يوم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 {ينادونهم ألم نكن معكم قالوا بلى ولكنكم فتنتم أنفسكم} الآية وقد قال غير واحد من السلف: إن المنافق يعطى يوم القيامة نورا ثم يطفأ ولهذا قال تعالى: {يوم لا يخزي الله النبي والذين آمنوا معه نورهم يسعى بين أيديهم وبأيمانهم يقولون ربنا أتمم لنا نورنا واغفر لنا} . قال المفسرون: إذا رأى المؤمنون نور المنافقين يطفأ سألوا الله أن يتم لهم نورهم ويبلغهم به الجنة.</t>
  </si>
  <si>
    <t xml:space="preserve">يتولوا يعذبهم الله عذابا أليما في الدنيا والآخرة} [التوبة: 73، 74] فهنا قال: {وكفروا بعد إسلامهم} . فهذا الإسلام قد يكون من جنس إسلام الأعراب فيكون قوله: {بعد إيمانكم} و {بعد إسلامهم} سواء، وقد يكونون ما زالوا منافقين، فلم يكن لهم حال كان معهم فيها من الإيمان شيء، لكونهم أظهروا الكفر والردة؛ ولهذا دعاهم إلى التوبة فقال: {فإن يتوبوا يك خيرا لهم وإن يتولوا} بعد التوبة عن التوبة {يعذبهم الله عذابا أليما في الدنيا والآخرة} وهذا إنما هو لمن أظهر الكفر، فيجاهده الرسول بإقامة الحد والعقوبة؛ ولهذا ذكر هذا في سياق قوله: {جاهد الكفار والمنافقين واغلظ عليهم} ؛ ولهذا قال في تمامها: {وما لهم في الأرض من ولي ولا نصير} [التوبة: 47] وهؤلاء الصنف الذين كفروا بعد إسلامهم غير الذين كفروا بعد إيمانهم فإن هؤلاء حلفوا بالله ما قالوا، وقد قالوا كلمة الكفر التي كفروا بها بعد إسلامهم وهموا بما لم ينالوا، وهو يدل على أنهم سعوا في ذلك، فلم يصلوا إلى مقصودهم؛ فإنه لم يقل: هموا بما لم يفعلوا، لكن {بما لم ينالوا} فصدر منهم قول وفعل، قال تعالى: {ولئن سألتهم ليقولن إنما كنا نخوض ونلعب} [التوبة: 65] فاعترفوا واعتذروا؛ ولهذا قيل: {لا تعتذروا قد كفرتم بعد إيمانكم إن نعف عن طآئفة منكم نعذب طآئفة بأنهم كانوا مجرمين} [التوبة: 66] فدل على أنهم لم يكونوا عند أنفسهم قد أتوا كفرا، بل ظنوا أن ذلك ليس بكفر، فبين أن الاستهزاء بالله وآياته ورسوله كفر يكفر به صاحبه بعد إيمانه، فدل على أنه كان عندهم إيمان ضعيف، ففعلوا هذا المحرم الذي عرفوا أنه محرم، ولكن لم يظنوه كفرا، وكان كفرا كفروا به، فإنهم لم يعتقدوا جوازه، وهكذا قال غير واحد من السلف في صفة المنافقين، الذين ضرب لهم المثل في سورة البقرة: أنهم أبصروا ثم عموا، وعرفوا ثم أنكروا، وآمنوا ثم كفروا. وكذلك قال قتادة ومجاهد: ضرب المثل لإقبالهم على المؤمنين، وسماعهم ما جاء به الرسول، وذهاب نورهم، قال: {مثلهم كمثل الذي استوقد نارا فلما أضاءت ما حوله ذهب الله بنورهم وتركهم في ظلمات لا يبصرون صم بكم عمي فهم لا يرجعون} [البقرة: 17، 18] إلى ما كانوا عليه. وأما قول من قال: المراد بالنور: ما حصل في الدنيا من حقن دمائهم وأموالهم، فإذا ماتوا سلبوا ذلك الضوء كما سلب صاحب النار ضوءه، فلفظ الآية يدل على خلاف ذلك، فإنه قال: {وتركهم في ظلمات لا يبصرون صم بكم عمي فهم لا يرجعون} ويوم القيامة يكونون في العذاب كما قال تعالى: {يوم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 ينادونهم ألم نكن معكم قالوا بلى ولكنكم فتنتم أنفسكم} الآية [الحديد: 13، 14] ، وقد قال غير واحد من السلف: إن المنافق يعطي يوم القيامة نورا ثم يطفأ؛ ولهذا قال تعالى: {يوم لا يخزي الله النبي والذين آمنوا معه نورهم يسعى بين أيديهم وبأيمانهم يقولون ربنا أتمم لنا نورنا واغفر لنا} [التحريم: 8] . قال المفسرون: إذا رأى المؤمنون نور المنافقين يطفأ، سألوا الله أن يتم لهم نورهم ويبلغهم به الجنة. قال ابن عباس: ليس أحد من المسلمين إلا يعطي نورا يوم القيامة، فأما المنافق فيطفأ نوره، وأما المؤمن فيشفق مما رأى من إطفاء نور المنافق، فهو يقول: {ربنا أتمم لنا نورنا} ، وهو كما قال: فقد ثبت في الصحيحين من حديث أبي هريرة وأبي سعيد وهو ثابت من وجوه أخر عن النبي صلى الله عليه وسلم. ورواه مسلم من حديث جابر، وهو معروف من حديث ابن مسعود وهو أطولها ومن حديث أبي موسى في الحديث الطويل الذي يذكر فيه أنه ينادى يوم القيامة: " لتتبع كل أمة ما كانت تعبد، فيتبع من كان يعبد الشمس الشمس، ويتبع من كان يعبد القمر القمر، ويتبع من كان يعبد الطواغيت الطواغيت، وتبقى هذه الأمة فيها منافقوها، فيأتيهم الله في صورة غير صورته التي يعرفون، فيقول: أنا ربكم، فيقولون: نعوذ بالله منك، وهذا مكاننا حتى يأتينا ربنا فإذا جاء ربنا عرفناه، فيأتيهم الله</t>
  </si>
  <si>
    <t xml:space="preserve">MF-V07-S09-P015</t>
  </si>
  <si>
    <t xml:space="preserve">IMN-S00-P125</t>
  </si>
  <si>
    <t xml:space="preserve">فإذا زنى خرج من الإيمان إلى الإسلام. قال الزهري - يعني - لما روي حديث سعد: " أو مسلم " فنرى أن الإسلام الكلمة والإيمان العمل قال أحمد: وهو حديث متأول والله أعلم. فقد ذكر أقوال التابعين ولم يرجح شيئا وذلك والله أعلم لأن جميع ما قالوه حق وهو يوافق على ذلك كله كما قد ذكر في مواضع أخر أنه يخرج من الإيمان إلى الإسلام ونحو ذلك وأحمد وأمثاله من السلف لا يريدون بلفظ التأويل صرف اللفظ عن ظاهره؛ بل التأويل عندهم مثل التفسير وبيان ما يؤول إليه اللفظ كقول عائشة رضي الله عنها {كان رسول الله صلى الله عليه وسلم يكثر أن يقول في ركوعه وسجوده سبحانك اللهم وبحمدك اللهم اغفر لي يتأول القرآن} وإلا فما ذكره التابعون لا يخالف ظاهر الحديث بل يوافقه وقول أحمد يتأوله أي يفسر معناه؛ وإن كان ذلك يوافق ظاهره لئلا يظن مبتدع أن معناه أنه صار كافرا لا إيمان معه بحال؛ كما تقوله الخوارج فإن الحديث لا يدل على هذا. والذي نفى عن هؤلاء الإيمان كان يجعلهم مسلمين لا يجعلهم مؤمنين. قال المروذي: قيل لأبي عبد الله: نقول نحن المؤمنون؟ فقال: نقول: نحن المسلمون. قلت لأبي عبد الله: نقول: إنا مؤمنون. قال: ولكن نقول: إنا مسلمون. وهذا لأن من أصله الاستثناء في الإيمان لأنه لا يعلم أنه مؤد لجميع ما أمره الله به فهو مثل قوله: أنا بر أنا تقي أنا ولي الله؛ كما يذكر في موضعه؛ وهذا لا يمنع ترك الاستثناء إذا أراد: إني مصدق فإنه يجزم بما في قلبه من التصديق؛ ولا يجزم بأنه ممتثل لكل ما أمر به؛ وكما يجزم بأنه يحب الله ورسوله فإنه يبغض الكفر ونحو ذلك مما يعلم أنه في قلبه؛ وكذلك إذا أراد بأنه مؤمن في الظاهر؛ فلا يمنع أن يجزم بما هو معلوم له؛ وإنما يكره ما كرهه سائر العلماء من قول المرجئة إذ يقولون: الإيمان شيء متماثل في جميع أهله مثل كون كل إنسان له رأس؛ فيقول أحدهم: أنا مؤمن حقا وأنا مؤمن عند الله ونحو ذلك؛ كما يقول الإنسان: لي رأس حقا وأنا لي رأس في علم الله حقا: فمن جزم به على هذا الوجه فقد أخرج الأعمال الباطنة والظاهرة عنه؛ وهذا منكر من القول وزور عند الصحابة والتابعين ومن اتبعهم من سائر المسلمين؛ وللناس في " مسألة الاستثناء " كلام يذكر في موضعه. والمقصود هنا: أن هنا قولين متطرفين: قول من يقول: الإسلام مجرد الكلمة والأعمال الظاهرة ليست داخلة في مسمى الإسلام وقول من يقول: مسمى الإسلام والإيمان واحد؛ وكلاهما قول ضعيف مخالف لحديث جبريل وسائر أحاديث النبي صلى الله عليه وسلم. ولهذا لما نصر محمد بن نصر المروزي القول الثاني: لم يكن معه حجة على صحته؛ ولكن احتج بما يبطل به القول الأول؛ فاحتج بقوله في قصة الأعراب: {بل الله يمن عليكم أن هداكم للإيمان إن كنتم صادقين} قال: فدل ذلك على أن " الإسلام " هو الإيمان، فيقال: بل يدل على نقيض ذلك لأن القوم لم يقولوا: أسلمنا؛ بل قالوا: آمنا والله أمرهم أن يقولوا: أسلمنا ثم ذكر تسميتهم بالإسلام فقال: {بل الله يمن عليكم أن هداكم للإيمان إن كنتم صادقين} في قولكم: آمنا ولو كان الإسلام هو الإيمان لم يحتج أن يقول: {إن كنتم صادقين} فإنهم صادقون في قولهم: {أسلمنا} مع أنهم لم يقولوا ولكن الله قال: {يمنون عليك أن أسلموا قل لا تمنوا علي إسلامكم بل الله يمن عليكم} أي: يمنون عليك ما فعلوه من الإسلام فالله تعالى سمى فعلهم إسلاما وليس في ذلك ما يدل على أنهم سموه إسلاما؛ وإنما قالوا: آمنا ثم أخبر أن المنة تقع بالهداية إلى الإيمان فأما الإسلام الذي لا إيمان معه فكان الناس يفعلونه خوفا من السيف؛ فلا منة لهم بفعله وإذا لم يمن الله عليهم بالإيمان كان ذلك كإسلام المنافقين فلا يقبله الله منهم. فأما إذا كانوا صادقين في قولهم: آمنا فالله هو المان عليهم بهذا الإيمان وما يدخل فيه من الإسلام وهو سبحانه نفى عنهم الإيمان أولا وهنا علق منة الله به على صدقهم فدل على جواز صدقهم. وقد قيل: إنهم صاروا صادقين بعد ذلك ويقال: المعلق بشرط لا يستلزم وجود ذلك الشرط ويقال: لأنه كان معهم إيمان ما. لكن ما هو الإيمان الذي وصفه ثانيا؟ بل معهم شعبة من الإيمان. قال محمد بن نصر: وقال الله تعالى: {وما أمروا إلا ليعبدوا الله مخلصين له الدين} الآية وقال: {إن الدين عند الله الإسلام} فسمى إقام الصلاة وإيتاء</t>
  </si>
  <si>
    <t xml:space="preserve">قال أحمد: قال لي رجل: لو لم يجئنا في الإيمان إلا هذا لكان حسنا. قلت لأبي عبد الله: فتذهب إلى ظاهر الكتاب مع السنن؟ قال: نعم. قلت: فإذا كانت المرجئة يقولون: إن الإسلام هو القول. قال: هم يصيرون هذا كله واحدا، ويجعلونه مسلما ومؤمنا شيئا واحدا علي إيمان جبريل ومستكمل الإيمان. قلت: فمن هاهنا حجتنا عليهم؟ قال: نعم، فقد ذكر عنه الفرق مطلقا واحتجاجه بالنصوص. وقال صالح بن أحمد: سئل أبي عن الإسلام والإيمان، قال: قال ابن أبي ذئب: الإسلام: القول، والإيمان: العمل. قيل له: ما تقول أنت؟ قال: الإسلام غير الإيمان، وذكر حديث سعد، وقول النبي صلى الله عليه وسلم. فهو في هذا الحديث لم يختر قول من قال: الإسلام: القول، بل أجاب بأن الإسلام غير الإيمان، كما دل عليه الحديث الصحيح مع القرآن. وقال حنبل: حدثنا أبو عبد الله بحديث بريدة: كان رسول الله صلى الله عليه وسلم يعلمهم إذا خرجوا إلى المقابر أن يقول قائلهم: " السلام عليكم أهل الديار من المؤمنين والمسلمين، وإنا إن شاء الله بكم لاحقون " الحديث، قال: وسمعت أبا عبد الله يقول في هذا الحديث: حجة على من قال: الإيمان قول. فمن قال: أنا مؤمن فقد خالف قوله: من المؤمنين والمسلمين. فبين المؤمن من المسلم، ورد على من قال: أنا مؤمن مستكمل الإيمان، وقوله: " وإنا إن شاء الله بكم لاحقون " وهو يعلم أنه ميت، يشد قول من قال: أنا مؤمن إن شاء الله بالاستثناء في هذا الموضع. وقال أبو الحارث: سألت أبا عبد الله قلت: قوله: " لا يزني الزاني حين يزني وهو مؤمن، ولا يشرب الخمر حين يشربها وهو مؤمن " قال: قد تأولوه، فأما عطاء فقال: يتنحى عنه الإيمان، وقال طاوس: إذا فعل ذلك زال عنه الإيمان. وروي عن الحسن قال: إن رجع راجعه الإيمان، وقد قيل: يخرج من الإيمان إلى الإسلام، ولا يخرج من الإسلام، وروى هذه المسألة صالح، فإن مسائل أبي الحارث يرويها صالح أيضا، وصالح سأل أباه عن هذه القصة فقال فيها: هكذا يروي عن أبي جعفر قال: " لا يزني الزاني حين يزني وهو مؤمن " قال: يخرج من الإيمان إلى الإسلام، فالإيمان مقصور في الإسلام، فإذا زنى خرج من الإيمان إلى الإسلام. قال الزهري يعني لما روى حديث سعد: " أو مسلم ": فنرى أن الإسلام الكلمة، والإيمان العمل. قال أحمد: وهو حديث متأول، والله أعلم. فقد ذكر أقوال التابعين ولم يرجح شيئا، وذلك والله أعلم لأن جميع ما قالوه حق، وهو يوافق على ذلك كله، كما قد ذكر في مواضع أخر أنه يخرج من الإيمان إلى الإسلام، ونحو ذلك. وأحمد وأمثاله من السلف لا يريدون بلفظ التأويل صرف اللفظ عن ظاهره، بل التأويل عندهم مثل التفسير، وبيان ما يؤول إليه اللفظ، كقول عائشة رضي الله عنها كان رسول الله صلى الله عليه وسلم يكثر أن يقول في ركوعه وسجوده: " سبحانك اللهم وبحمدك، اللهم اغفر لي " يتأول القرآن، وإلا فما ذكره التابعون لا يخالف ظاهر الحديث بل يوافقه، وقول أحمد يتأوله، أي يفسر معناه، وإن كان ذلك يوافق ظاهره لئلا يظن مبتدع أن معناه: أنه صار كافرا لا إيمان معه بحال، كما تقوله الخوارج، فإن الحديث لا يدل على هذا، والذي نفى عن هؤلاء الإيمان كان يجعلهم مسلمين لا يجعلهم مؤمنين. قال المروزي: قيل لأبي عبد الله: نقول: نحن المؤمنون؟ فقال: نقول: نحن المسلمون. قلت لأبي عبد الله: نقول: إنا مؤمنون. قال: ولكن نقول: إنا مسلمون، وهذا لأن من أصله الاستثناء في الإيمان؛ لأنه لا يعلم أنه مؤد لجميع ما أمره الله به، فهو مثل قوله: أنا بر، أنا تقي، أنا ولي الله، كما يذكر في موضعه، وهذا لا يمنع ترك الاستثناء إذا أراد: أني مصدق، فإنه يجزم بما في قلبه من التصديق، ولا يجزم بأنه ممتثل لكل ما أمر به، وكما يجزم بأنه يحب الله ورسوله، فإنه يبغض الكفر، ونحو ذلك مما يعلم أنه في قلبه، وكذلك إذا أراد بأنه مؤمن في الظاهر، فلا يمنع أن يجزم بما هو معلوم له، وإنما يكره ما كرهه سائر العلماء من قول المرجئة؛ إذ يقولون: الإيمان شيء متماثل في جميع أهله، مثل كون كل إنسان له رأس، فيقول أحدهم: أنا مؤمن حقا، وأنا مؤمن عند الله، ونحو ذلك، كما يقول الإنسان: لي رأس حقا، وأنا لي رأس في علم الله حقا، فمن جزم به على هذا الوجه، فقد أخرج الأعمال الباطنة والظاهرة عنه، وهذا منكر من القول وزور عند الصحابة والتابعين، ومن اتبعهم من سائر المسلمين، وللناس في مسألة الاستثناء كلام يذكر في موضعه.</t>
  </si>
  <si>
    <t xml:space="preserve">MF-V07-S00-P006</t>
  </si>
  <si>
    <t xml:space="preserve">IMN-S00-P007</t>
  </si>
  <si>
    <t xml:space="preserve">كلام الله وأن الرسول حق. ولا يكون مؤمنا. كما أن اليهود يعرفونه كما يعرفون أبناءهم وليسوا مؤمنين وكذلك إبليس وفرعون وغيرهما. لكن من كان كذلك؛ لم يكن حصل له العلم التام والمعرفة التامة فإن ذلك يستلزم العمل بموجبه لا محالة؛ ولهذا صار يقال لمن لم يعمل بعلمه: إنه جاهل كما تقدم. وكذلك لفظ " العقل " - وإن كان هو في الأصل: مصدر عقل يعقل عقلا وكثير من النظار جعله من جنس العلوم - فلا بد أن يعتبر مع ذلك أنه علم يعمل بموجبه فلا يسمى " عاقلا " إلا من عرف الخير فطلبه والشر فتركه؛ ولهذا قال أصحاب النار: {لو كنا نسمع أو نعقل ما كنا في أصحاب السعير} . وقال عن المنافقين: {تحسبهم جميعا وقلوبهم شتى ذلك بأنهم قوم لا يعقلون} . ومن فعل ما يعلم أنه يضره؛ فمثل هذا ما له عقل. فكما أن الخوف من الله يستلزم العلم به؛ فالعلم به يستلزم خشيته وخشيته تستلزم طاعته. فالخائف من الله ممتثل لأوامره مجتنب لنواهيه وهذا هو الذي قصدنا بيانه أولا. ويدل على ذلك أيضا قوله تعالى {فذكر إن نفعت الذكرى} {سيذكر من يخشى} {ويتجنبها الأشقى} {الذي يصلى النار الكبرى} . فأخبر أن من يخشاه يتذكر، والتذكر هنا مستلزم لعبادته قال الله تعالى: {هو الذي يريكم آياته وينزل لكم من السماء رزقا وما يتذكر إلا من ينيب} . وقال: {تبصرة وذكرى لكل عبد منيب} . ولهذا قالوا في قوله {سيذكر من يخشى} سيتعظ بالقرآن من يخشى الله. وفي قوله {وما يتذكر إلا من ينيب} إنما يتعظ من يرجع إلى الطاعة. وهذا لأن التذكر التام يستلزم التأثر بما تذكره؛ فإن تذكر محبوبا طلبه وإن تذكر مرهوبا هرب منه ومنه قوله تعالى {سواء عليهم أأنذرتهم أم لم تنذرهم لا يؤمنون} . وقال سبحانه: {إنما تنذر من اتبع الذكر وخشي الرحمن بالغيب} . فنفى الإنذار عن غير هؤلاء مع قوله: {سواء عليهم أأنذرتهم أم لم تنذرهم لا يؤمنون} . فأثبت لهم الإنذار من وجه ونفاه عنهم من وجه؛ فإن الإنذار هو الإعلام بالمخوف. فالإنذار مثل التعليم والتخويف فمن علمته فتعلم فقد تم تعليمه وآخر يقول: علمته فلم يتعلم. وكذلك من خوفته فخاف فهذا هو الذي تم تخويفه. وأما من خوف فما خاف؛ فلم يتم تخويفه. وكذلك من هديته فاهتدى؛ تم هداه ومنه قوله تعالى {هدى للمتقين} . ومن هديته فلم يهتد - كما قال: {وأما ثمود فهديناهم فاستحبوا العمى على الهدى} - فلم يتم هداه كما تقول: قطعته فانقطع وقطعته فما انقطع. فالمؤثر التام يستلزم أثره: فمتى لم يحصل أثره لم يكن تاما والفعل إذا صادف محلا قابلا تم وإلا لم يتم. والعلم بالمحبوب يورث طلبه والعلم بالمكروه يورث تركه؛ ولهذا يسمى هذا العلم: الداعي ويقال: الداعي مع القدرة يستلزم وجود المقدور، وهو العلم بالمطلوب المستلزم لإرادة المعلوم المراد، وهذا كله إنما يحصل مع صحة الفطرة وسلامتها وأما مع فسادها فقد يحس الإنسان باللذيذ فلا يجد له لذة بل يؤلمه، وكذلك يلتذ بالمؤلم لفساد الفطرة، والفساد يتناول القوة العلمية والقوة العملية جميعا كالممرور الذي يجد العسل مرا: فإنه فسد نفس إحساسه حتى كان يحس به على خلاف ما هو عليه للمرة التي مازجته وكذلك من فسد باطنه قال تعالى: {وما يشعركم أنها إذا جاءت لا يؤمنون} {ونقلب أفئدتهم وأبصارهم كما لم يؤمنوا به أول مرة ونذرهم في طغيانهم يعمهون} . وقال تعالى: {فلما زاغوا أزاغ الله قلوبهم} . وقال: {وقولهم قلوبنا غلف بل طبع الله عليها بكفرهم} . وقال في الآية الأخرى: {وقالوا قلوبنا غلف بل لعنهم الله بكفرهم} . و " الغلف ": جمع أغلف وهو ذو الغلاف الذي في غلاف مثل الأقلف كأنهم جعلوا المانع خلقة أي خلقت القلوب وعليها أغطية فقال الله تعالى: {بل لعنهم الله بكفرهم} و {طبع الله عليها بكفرهم فلا يؤمنون إلا قليلا} . وقال تعالى: {ومنهم من يستمع إليك حتى إذا خرجوا من عندك قالوا للذين أوتوا العلم ماذا قال آنفا أولئك الذين طبع الله على قلوبهم واتبعوا أهواءهم} . وكذلك قالوا: {يا شعيب ما نفقه كثيرا مما تقول} قال: {ولو علم الله فيهم خيرا لأسمعهم} أي لأفهمهم ما سمعوه. ثم قال: ولو أفهمهم مع هذه الحال التي هم عليها {لتولوا وهم معرضون} فقد فسدت فطرتهم فلم يفهموا ولو فهموا لم يعملوا. فنفى عنهم صحة القوة العلمية وصحة القوة العملية وقال: {أم تحسب أن أكثرهم يسمعون أو يعقلون إن هم إلا كالأنعام بل هم أضل</t>
  </si>
  <si>
    <t xml:space="preserve">فخاف، فهذا هو الذي تم تخويفه. وأما من خوف فما خاف، فلم يتم تخويفه. وكذلك من هديته فاهتدى، ثم هداه، ومنه قوله تعالى: {هدى للمتقين} [البقرة: 2] ، ومن هديته فلم يهتد كما قال: {وأما ثمود فهديناهم فاستحبوا العمى على الهدى} [فصلت: 17] فلم يتم هداه، كما تقول: قطعته فانقطع، وقطعته فما انقطع. فالمؤثر التام يستلزم أثره، فمتى لم يحصل أثره لم يكن تاما، والفعل إذا صادف محلا قابلا تم، وإلا لم يتم. والعلم بالمحبوب يورث طلبه، والعلم بالمكروه يورث تركه؛ ولهذا يسمى هذا العلم: الداعي، ويقال: الداعي مع القدرة يستلزم وجود المقدور، وهو العلم بالمطلوب المستلزم لإرادة المعلوم المراد، وهذا كله إنما يحصل مع صحة الفطرة وسلامتها، وأما مع فسادها، فقد يحس الإنسان باللذيذ فلا يجد له لذة بل يؤلمه، وكذلك يلتذ بالمؤلم لفساد الفطرة، والفساد يتناول القوة العلمية والقوة العملية جميعا، كالممرور الذي يجد العسل مرا، فإنه فسد نفس إحساسه حتى كان يحس به على خلاف ما هو عليه للمرة التي مازجته، وكذلك من فسد باطنه، قال تعالى {وما يشعركم أنها إذا جاءت لا يؤمنون ونقلب أفئدتهم وأبصارهم كما لم يؤمنوا به أول مرة ونذرهم في طغيانهم يعمهون} [الأنعام: 109، 110] . وقال تعالى: {فلما زاغوا أزاغ الله قلوبهم} [الصف: 5] ، وقال: {وقولهم قلوبنا غلف بل طبع الله عليها بكفرهم} [النساء: 155] ، وقال في الآية الأخرى: {وقالوا قلوبنا غلف بل لعنهم الله بكفرهم} [البقرة: 88] . و [الغلف] جمع أغلف، وهو ذو الغلاف الذي في غلاف مثل الأقلف، كأنهم جعلوا المانع خلقة، أي خلقت القلوب وعليها أغطية، فقال الله تعالى: {بل لعنهم الله بكفرهم} و {طبع الله عليها بكفرهم فلا يؤمنون إلا قليلا} ، وقال تعالى: {ومنهم من يستمع إليك حتى إذا خرجوا من عندك قالوا للذين أوتوا العلم ماذا قال آنفا أولئك الذين طبع الله على قلوبهم واتبعوا أهواءهم} [محمد: 16] . وكذلك قالوا: {يا شعيب ما نفقه كثيرا مما تقول} [هود: 91] ، قال: {ولو علم الله فيهم خيرا لأسمعهم ولو أسمعهم} [الأنفال: 23] أي: لأفهمهم ما سمعوه، ثم قال: ولو أفهمهم مع هذه الحال التي هم عليها، {لتولوا وهم معرضون} [الأنفال: 23] ، فقد فسدت فطرتهم فلم يفهموا، ولو فهموا لم يعملوا، فنفى عنهم صحة القوة العلمية، وصحة القوة العملية، وقال: {أم تحسب أن أكثرهم يسمعون أو يعقلون إن هم إلا كالأنعام بل هم أضل سبيلا} [الفرقان: 44] ، وقال: {ولقد ذرأنا لجهنم كثيرا من الجن والإنس لهم قلوب لا يفقهون بها ولهم أعين لا يبصرون بها ولهم آذان لا يسمعون بها أولئك كالأنعام بل هم أضل أولئك هم الغافلون} [الأعراف: 179] ، وقال: {ومثل الذين كفروا كمثل الذي ينعق بما لا يسمع إلا دعاء ونداء صم بكم عمي فهم لا يعقلون} [البقرة: 171] ، وقال عن المنافقين: {صم بكم عمي فهم لا يرجعون} [البقرة: 18] . ومن الناس من يقول: لما لم ينتفعوا بالسمع والبصر والنطق، جعلوا صما بكما عميا؛ أو لما أعرضوا عن السمع والبصر والنطق، صاروا كالصم العمي البكم، وليس كذلك، بل نفس قلوبهم عميت وصمت وبكمت، كما قال الله تعالى: {فإنها لا تعمى الأبصار ولكن تعمى القلوب التي في الصدور} [الحج: 46] ، والقلب هو الملك، والأعضاء جنوده، وإذا صلح صلح سائر الجسد، وإذا فسد فسد سائر الجسد، فيبقى يسمع بالأذن الصوت كما تسمع البهائم، والمعنى: لا يفقهه، وإن فقه بعض الفقه لم يفقه فقها تاما، فإن الفقه التام يستلزم تأثيره في القلب محبة المحبوب، وبغض المكروه، فمتى لم يحصل هذا لم يكن التصور التام حاصلا فجاز نفيه؛ لأن ما لم يتم ينفى، كقوله للذي أساء في صلاته: " صل فإنك لم تصل "، فنفى الإيمان حيث نفى من هذا الباب. وقد جمع الله بين وصفهم بوجل القلب إذا ذكر، وبزيادة الإيمان إذا سمعوا آياته. قال الضحاك: زادتهم يقينا. وقال الربيع بن أنس: خشية. وعن ابن عباس: تصديقا. وهكذا قد ذكر الله هذين الأصلين في مواضع، قال تعالى: {ألم يأن للذين آمنوا أن تخشع قلوبهم لذكر الله وما نزل من الحق ولا يكونوا كالذين أوتوا الكتاب من قبل فطال عليهم الأمد فقست قلوبهم وكثير منهم فاسقون} [الحديد: 16]</t>
  </si>
  <si>
    <t xml:space="preserve">Orta (parça ortak, asıl iddia farklı olabilir)</t>
  </si>
  <si>
    <t xml:space="preserve">MF-V07-S00-P023</t>
  </si>
  <si>
    <t xml:space="preserve">IMN-S00-P025</t>
  </si>
  <si>
    <t xml:space="preserve">القرآن. وأما ما أخبر به النبي صلى الله عليه وسلم أنه يكون. فأخبر: {أنه يأتي فيسجد لربه ويحمده لا يبدأ بالشفاعة أولا. فإذا سجد وحمد ربه بمحامد يفتحها عليه؛ يقال له: أي محمد ارفع رأسك وقل تسمع وسل تعط واشفع تشفع. فيقول: أي رب أمتي فيحد له حدا فيدخلهم الجنة. وكذلك في الثانية وكذلك في الثالثة وقال له أبو هريرة: من أسعد الناس بشفاعتك يوم القيامة؟ قال: من قال: لا إله إلا الله خالصا من قلبه} . فتلك " الشفاعة " هي لأهل الإخلاص بإذن الله ليست لمن أشرك بالله ولا تكون إلا بإذن الله. وحقيقته أن الله هو الذي يتفضل على أهل الإخلاص والتوحيد فيغفر لهم بواسطة دعاء الشافع الذي أذن له أن يشفع ليكرمه بذلك وينال به المقام المحمود الذي يغبطه به الأولون والآخرون صلى الله عليه وسلم كما كان في الدنيا يستسقي لهم ويدعو لهم وتلك شفاعة منه لهم فكان الله يجيب دعاءه وشفاعته. وإذا كان كذلك " ف</t>
  </si>
  <si>
    <t xml:space="preserve">فتلك [الشفاعة] هي لأهل الإخلاص بإذن الله ليست لمن أشرك بالله ولا تكون إلا بإذن الله. وحقيقته أن الله هو الذي يتفضل على أهل الإخلاص والتوحيد فيغفر لهم بواسطة دعاء الشافع الذي أذن له أن يشفع ليكرمه بذلك وينال به المقام المحمود الذي يغبطه به الأولون والآخرون صلى الله عليه وسلم كما كان في الدنيا يستسقي لهم ويدعو لهم، وتلك شفاعة منه لهم فكان الله يجيب دعاءه وشفاعته. وإذا كان كذلك [فالظلم ثلاثة أنواع] : فالظلم الذي هو شرك لا شفاعة فيه. وظلم الناس بعضهم بعضا لا بد فيه من إعطاء المظلوم حقه، لا يسقط حق المظلوم لا بشفاعة ولا غيرها ولكن قد يعطى المظلوم من الظالم كما قد يغفر لظالم نفسه بالشفاعة. فالظالم المطلق ما له من شفيع مطاع وأما الموحد فلم يكن ظالما مطلقا بل هو موحد مع ظلمه لنفسه. وهذا إنما نفعه في الحقيقة إخلاصه لله فبه صار من أهل الشفاعة. ومقصود القرآن ينفي الشفاعة نفي الشرك وهو: أن أحدا لا يعبد إلا الله ولا يدعو غيره ولا يسأل غيره ولا يتوكل على غيره لا في شفاعة ولا غيرها، فليس له أن يتوكل على أحد في أن يرزقه وإن كان الله يأتيه برزقه بأسباب. كذلك ليس له أن يتوكل على غير الله في أن يغفر له ويرحمه في الآخرة وإن كان الله يغفر له ويرحمه بأسباب من شفاعة وغيرها فالشفاعة التي نفاها القرآن مطلقا، ما كان فيها شرك وتلك منتفية مطلقا، ولهذا أثبت الشفاعة بإذنه في مواضع وتلك قد بين الرسول صلى الله عليه وسلم أنها لا تكون إلا لأهل التوحيد والإخلاص فهي من التوحيد , ومستحقها أهل التوحيد. وأما الظلم المقيد فقد يختص بظلم الإنسان نفسه وظلم الناس بعضهم بعضا كقول آدم عليه السلام وحواء: {ربنا ظلمنا أنفسنا} [الأعراف: 23] وقول موسى {رب إني ظلمت نفسي} [القصصك 16] ، وقوله تعالى: {والذين إذا فعلوا فاحشة أو ظلموا أنفسهم ذكروا الله فاستغفروا لذنوبهم} [آل عمران: 135] . لكن قول آدم وموسى إخبار عن واقع لا عموم فيه وذلك قد عرف ولله الحمد أنه ليس كفرا وأما قوله {والذين إذا فعلوا فاحشة أو ظلموا أنفسهم} [آل عمران: 135] . فهو نكرة في سياق الشرط يعم كل ما فيه ظلم الإنسان نفسه وهو إذا أشرك ثم تاب تاب الله عليه. وقد تقدم أن ظلم الإنسان لنفسه يدخل فيه كل ذنب كبير أو صغير مع الإطلاق وقال تعالى: {ثم أورثنا الكتاب الذين اصطفينا من عبادنا فمنهم ظالم لنفسه ومنهم مقتصد ومنهم سابق بالخيرات} [فاطر: 32] فهذا ظلم لنفسه مقرون بغيره فلا يدخل فيه الشرك الأكبر وفي الصحيحين عن ابن مسعود أنه لما أنزلت هذه الآية {الذين آمنوا ولم يلبسوا إيمانهم بظلم} [الأنعام: 82] . شق ذلك على أصحاب النبي صلى الله عليه وسلم وقالوا: أينا لم يظلم نفسه فقال النبي صلى الله عليه وسلم: " إنما هو الشرك ألم تسمعوا إلى قول العبد الصالح إن الشرك لظلم عظيم ". والذين شق ذلك عليهم ظنوا أن الظلم المشروط هو ظلم العبد نفسه وأنه لا يكون الأمن والاهتداء إلا لمن يظلم نفسه فشق ذلك عليهم فبين النبي صلى الله عليه وسلم لهم ما دلهم على أن الشرك ظلم في كتاب الله تعالى وحينئذ فلا يحصل الأمن والاهتداء إلا لمن لم يلبس إيمانه بهذا الظلم ومن لم يلبس إيمانه به كان من أهل الأمن والاهتداء كما كان من أهل الاصطفاء في قوله ثم أورثنا الكتاب الذين اصطفينا من عبادنا إلى قوله جنات عدن يدخلونها وهذا لا ينفي أن يؤاخذ أحدهم بظلم نفسه إذا لم يتب كما قال تعالى: {فمن يعمل مثقال ذرة خيرا يره ومن يعمل مثقال ذرة شرا يره} [الزلزلة 7: 8] وقال تعالى: {من يعمل سوءا يجز به} [النساء: 123] وقد سأل أبو بكر النبي صلى الله عليه وسلم عن ذلك فقال يا رسول الله وأينا لم يعمل سوءا فقال: " يا أبا بكر ألست تنصب ألست تحزن ألست تصيبك اللأواء</t>
  </si>
  <si>
    <t xml:space="preserve">MF-V07-S00-P022</t>
  </si>
  <si>
    <t xml:space="preserve">IMN-S00-P024</t>
  </si>
  <si>
    <t xml:space="preserve">إبليس أجمعون} {قالوا وهم فيها يختصمون} {تالله إن كنا لفي ضلال مبين} {إذ نسويكم برب العالمين} {وما أضلنا إلا المجرمون} {فما لنا من شافعين} {ولا صديق حميم} {فلو أن لنا كرة فنكون من المؤمنين} . وقوله: {إذ نسويكم} لم يريدوا به أنهم جعلوهم مساوين لله من كل وجه؛ فإن هذا لم يقله أحد من بني آدم ولا نقل عن قوم قط من الكفار أنهم قالوا: إن هذا العالم له خالقان متماثلان حتى المجوس القائلين " بالأصلين: النور والظلمة " متفقون على أن " النور " خير يستحق أن يعبد ويحمد وأن " الظلمة " شريرة تستحق أن تذم وتلعن واختلفوا هل الظلمة محدثة أو قديمة؟ على قولين وبكل حال لم يجعلوها مثل النور من كل وجه. وكذلك " مشركو العرب " كانوا متفقين على أن أربابهم لم تشارك الله في خلق السموات والأرض؛ بل كانوا مقرين بأن الله وحده خلق السموات والأرض وما بينهما كما أخبر الله عنهم بذلك في غير آية كقوله تعالى: {ولئن سألتهم من خلق السماوات والأرض وسخر الشمس والقمر ليقولن الله فأنى يؤفكون} {الله يبسط الرزق لمن يشاء من عباده ويقدر له إن الله بكل شيء عليم} {ولئن سألتهم من نزل من السماء ماء فأحيا به الأرض من بعد موتها ليقولن الله قل الحمد لله بل أكثرهم لا يعقلون} . وقال تعالى: {ولئن سألتهم من خلق السماوات والأرض ليقولن خلقهن العزيز العليم} {الذي جعل لكم الأرض مهدا وجعل لكم فيها سبلا لعلكم تهتدون} {والذي نزل من السماء ماء بقدر فأنشرنا به بلدة ميتا كذلك تخرجون} {والذي خلق الأزواج كلها وجعل لكم من الفلك والأنعام ما تركبون} {لتستووا على ظهوره ثم تذكروا نعمة ربكم إذا استويتم عليه وتقولوا سبحان الذي سخر لنا هذا وما كنا له مقرنين وإنا إلى ربنا لمنقلبون} . وهذه الصفات من كلام الله تعالى؛ ليست من تمام جوابهم. وقال تعالى: {قل لمن الأرض ومن فيها إن كنتم تعلمون} {سيقولون لله قل أفلا تذكرون} {قل من رب السماوات السبع ورب العرش العظيم} {سيقولون لله} الآيات. وقال تعالى {قل أرأيتكم إن أتاكم عذاب الله أو أتتكم الساعة أغير الله تدعون إن كنتم صادقين} {بل إياه تدعون فيكشف ما تدعون إليه إن شاء وتنسون ما تشركون} . وكذلك قوله: {آلله خير أم ما يشركون} {أمن خلق السماوات والأرض وأنزل لكم من السماء ماء فأنبتنا به حدائق ذات بهجة ما كان لكم أن تنبتوا شجرها أإله مع الله بل هم قوم يعدلون} {أمن جعل الأرض قرارا وجعل خلالها أنهارا وجعل لها رواسي وجعل بين البحرين حاجزا أإله مع الله} . أي: أإله مع الله فعل هذا؟ وهذا استفهام إنكار وهم مقرون بأنه لم يفعل هذا إله آخر مع الله. ومن قال من المفسرين إن المراد: هل مع الله إله آخر؟ فقد غلط؛ فإنهم كانوا يجعلون مع الله آلهة أخرى كما قال تعالى: {أئنكم لتشهدون أن مع الله آلهة أخرى قل لا أشهد} . وقال تعالى: {فما أغنت عنهم آلهتهم التي يدعون من دون الله من شيء} . وقال تعالى عنهم: {أجعل الآلهة إلها واحدا إن هذا لشيء عجاب} . وكانوا معترفين بأن آلهتهم لم تشارك الله في خلق السموات والأرض ولا خلق شيء؛ بل كانوا يتخذونهم شفعاء ووسائط كما قال تعالى: {ويعبدون من دون الله ما لا يضرهم ولا ينفعهم ويقولون هؤلاء شفعاؤنا عند الله} . وقال عن صاحب يس: {وما لي لا أعبد الذي فطرني وإليه ترجعون} {أأتخذ من دونه آلهة إن يردن الرحمن بضر لا تغن عني شفاعتهم شيئا ولا ينقذون} . وقال تعالى: {وأنذر به الذين يخافون أن يحشروا إلى ربهم ليس لهم من دونه ولي ولا شفيع} . وقال تعالى: {الله الذي خلق السماوات والأرض وما بينهما في ستة أيام ثم استوى على العرش ما لكم من دونه من ولي ولا شفيع أفلا تتذكرون} . وقال: {قل ادعوا الذين زعمتم من دون الله لا يملكون مثقال ذرة في السماوات ولا في الأرض وما لهم فيهما من شرك وما له منهم من ظهير} {ولا تنفع الشفاعة عنده إلا لمن أذن له} فنفى عما سواه كل ما يتعلق به المشركون فنفى أن يكون لغيره ملك أو قسط من الملك أو يكون عونا لله ولم يبق إلا الشفاعة؛ فبين أنها لا تنفع إلا لمن أذن له الرب كما قال تعالى: {من ذا الذي يشفع عنده إلا بإذنه} وقال تعالى عن الملائكة: {ولا يشفعون إلا لمن ارتضى} . وقال: {وكم من ملك في السماوات لا تغني شفاعتهم شيئا إلا من بعد أن يأذن الله لمن يشاء ويرضى} . فهذه " الشفاعة " التي يظنها المشركون؛ هي منتفية يوم القيامة كما نفاها</t>
  </si>
  <si>
    <t xml:space="preserve">يعقلون} [العنكبوت: 61: 63] ، وقال تعالى: {ولئن سألتهم من خلق السماوات والأرض ليقولن خلقهن العزيز العليم الذي جعل لكم الأرض مهدا وجعل لكم فيها سبلا لعلكم تهتدون والذي نزل من السماء ماء بقدر فأنشرنا به بلدة ميتا كذلك تخرجون والذي خلق الأزواج كلها وجعل لكم من الفلك والأنعام ما تركبون لتستووا على ظهوره ثم تذكروا نعمة ربكم إذا استويتم عليه وتقولوا سبحان الذي سخر لنا هذا وما كنا له مقرنين وإنا إلى ربنا لمنقلبون} [الزخرف: 9: 14] . وهذه الصفات من كلام الله تعالى ليست من تمام جوابهم. وقال تعالى: {قل لمن الأرض ومن فيها إن كنتم تعلمون سيقولون لله قل أفلا تذكرون قل من رب السماوات السبع ورب العرش العظيم سيقولون لله} الآيات [المؤمنون: 84: 87] ، وقال تعالى: {قل أرأيتكم إن أتاكم عذاب الله أو أتتكم الساعة أغير الله تدعون إن كنتم صادقين بل إياه تدعون فيكشف ما تدعون إليه إن شاء وتنسون ما تشركون} [الأنعام40، 41] ، وكذلك قوله: {آلله خير أما يشركون أمن خلق السماوات والأرض وأنزل لكم من السماء ماء فأنبتنا به حدائق ذات بهجة ما كان لكم أن تنبتوا شجرها أإله مع الله بل هم قوم يعدلون أمن جعل الأرض قرارا وجعل خلالها أنهارا وجعل لها رواسي وجعل بين البحرين حاجزا أإله مع الله} [النمل: 59: 61] ؟ ! أي: أإله مع الله فعل هذا؟ وهذا استفهام إنكار، وهم مقرون بأنه لم يفعل هذا إله آخر مع الله. ومن قال من المفسرين: إن المراد: هل مع الله إله آخر؟ فقد غلط؛ فإنهم كانوا يجعلون مع الله آلهة أخرى، كما قال تعالى: {أئنكم لتشهدون أن مع الله آلهة أخرى قل لا أشهد} [الأنعام: 19] وقال تعالى: {فما أغنت عنهم آلهتهم التي يدعون من دون الله من شيء} [هود: 101] وقال تعالى عنهم: {أجعل الآلهة إلها واحدا إن هذا لشيء عجاب} [ص: 5] وكانوا معترفين بأن آلهتهم لم تشارك الله في خلق السموات والأرض، ولا خلق شيء، بل كانوا يتخذونهم شفعاء ووسائط كما قال تعالى: {ويعبدون من دون الله ما لا يضرهم ولا ينفعهم ويقولون هؤلاء شفعاؤنا عند الله} [يونس: 18] . وقال عن صاحب يس: {وما لي لا أعبد الذي فطرني وإليه ترجعون} [يس: 22] {أأتخذ من دونه آلهة إن يردن الرحمن بضر لا تغن عني شفاعتهم شيئا ولا ينقذون} [يس: 23] . وقال تعالى: {وأنذر به الذين يخافون أن يحشروا إلى ربهم ليس لهم من دونه ولي ولا شفيع} [الأنعام: 51] . وقال تعالى: {الله الذي خلق السماوات والأرض وما بينهما في ستة أيام ثم استوى على العرش ما لكم من دونه من ولي ولا شفيع أفلا تتذكرون} [السجدة: 4] . وقال: {قل ادعوا الذين زعمتم من دون الله لا يملكون مثقال ذرة في السماوات ولا في الأرض وما لهم فيهما من شرك وما له منهم من ظهير} [سبأ: 22] {ولا تنفع الشفاعة عنده إلا لمن أذن له} [سبأ: 23] فنفي عما سواه كل ما يتعلق به المشركون فنفي أن يكون لغيره ملك أو قسط من الملك أو يكون عونا لله ولم يبق إلا الشفاعة، فبين أنها لا تنفع إلا لمن أذن له الرب كما قال تعالى: {من ذا الذي يشفع عنده إلا بإذنه} [البقرة: 255] . وقال تعالى عن الملائكة: {ولا يشفعون إلا لمن ارتضى} [الأنبياء: 28] . وقال: {وكم من ملك في السماوات لا تغني شفاعتهم شيئا إلا من بعد أن يأذن الله لمن يشاء ويرضى} [النجم: 26] . فهذه [الشفاعة] التي يظنها المشركون، هي منتفية يوم القيامة كما نفاها القرآن. وأما ما أخبر به النبي صلى الله عليه وسلم أنه يكون. فأخبر: " أنه يأتي فيسجد لربه ويحمده لا يبدأ بالشفاعة أولا. فإذا سجد وحمد ربه بمحامد يفتحها عليه، يقال له: أي محمد ارفع رأسك وقل تسمع وسل تعط واشفع تشفع. فيقول: أي رب أمتي فيحد له حدا فيدخلهم الجنة. وكذلك في الثانية وكذلك في الثالثة وقال له أبو هريرة: من أسعد الناس بشفاعتك يوم القيامة؟ قال: من قال: لا إله إلا الله خالصا من قلبه ".</t>
  </si>
  <si>
    <t xml:space="preserve">MF-V07-S01-P017</t>
  </si>
  <si>
    <t xml:space="preserve">IMN-S00-P043</t>
  </si>
  <si>
    <t xml:space="preserve">S: V07P078–V07P133
T: V01P007–V01P359</t>
  </si>
  <si>
    <t xml:space="preserve">ومما يعارضون به أن يقال: هذا الذي ذكرتموه إن كان صحيحا؛ فهو أدل على قول المرجئة، بل على قول الكرامية، منه على قولكم، وذلك أن الإيمان إذا كان هو التصديق كما ذكرتم فالتصديق نوع من أنواع الكلام، فاستعمال لفظ الكلام والقول ونحو ذلك في المعنى واللفظ، بل في اللفظ الدال على المعنى، أكثر في اللغة من استعماله في المعنى المجرد عن اللفظ، بل لا يوجد قط إطلاق اسم الكلام ولا أنواعه: كالخبر أو التصديق والتكذيب والأمر والنهي على مجرد المعنى من غير شيء يقترن به من عبارة ولا إشارة ولا غيرهما؛ وإنما يستعمل مقيدا. وإذا كان الله إنما أنزل القرآن بلغة العرب؛ فهي لا تعرف التصديق والتكذيب وغيرهما من الأقوال إلا ما كان معنى ولفظا أو لفظا يدل على معنى؛ ولهذا لم يجعل الله أحدا مصدقا للرسل بمجرد العلم والتصديق الذي في قلوبهم حتى يصدقوهم بألسنتهم. ولا يوجد في كلام العرب أن يقال: فلان صدق فلانا أو كذبه إذا كان يعلم بقلبه أنه صادق أو كاذب ولم يتكلم بذلك. كما لا يقال: أمره أو نهاه إذا قام بقلبه طلب مجرد عما يقترن به من لفظ أو إشارة أو نحوهما. ولما قال النبي صلى الله عليه وسلم " {إن صلاتنا هذه لا يصلح فيها شيء من كلام الناس} ". وقال: " {إن الله يحدث من أمره ما شاء وإن مما أحدث أن لا تكلموا في الصلاة} " اتفق العلماء على أنه إذا تكلم في الصلاة عامدا لغير مصلحتها؛ بطلت صلاته. واتفقوا كلهم على أن ما يقوم بالقلب من تصديق بأمور دنيوية وطلب لا يبطل الصلاة وإنما يبطلها التكلم بذلك. فعلم اتفاق المسلمين على أن هذا ليس بكلام. وأيضا ففي " الصحيحين " عن النبي صلى الله عليه وسلم أنه قال: {إن الله تجاوز لأمتي عما حدثت به أنفسها ما لم تتكلم به أو تعمل به} " فقد أخبر أن الله عفا عن حديث النفس إلا أن تتكلم؛ ففرق بين حديث النفس وبين الكلام وأخبر أنه لا يؤاخذ به حتى يتكلم به، والمراد حتى ينطق به اللسان باتفاق العلماء. فعلم أن هذا هو الكلام في اللغة؛ لأن الشارع - كما قرر - إنما خاطبنا بلغة العرب. وأيضا ففي " السنن " {أن معاذا قال له: يا رسول الله وإنا لمؤاخذون بما نتكلم به؟ فقال: وهل يكب الناس في النار على وجوههم أو قال على مناخرهم إلا حصائد ألسنتهم} ". فبين أن الكلام إنما هو ما يكون باللسان. وفي " الصحيح " عن النبي صلى الله عليه وسلم أنه قال: " {أصدق كلمة قالها الشاعر كلمة لبيد: ألا كل شيء ما خلا الله باطل} ". " وفي الصحيحين " عنه أنه قال: " {كلمتان خفيفتان على اللسان ثقيلتان في الميزان حبيبتان إلى الرحمن: سبحان الله وبحمده سبحان الله العظيم} " وقد قال الله تعالى: {وينذر الذين قالوا اتخذ الله ولدا} {ما لهم به من علم ولا لآبائهم كبرت كلمة تخرج من أفواههم إن يقولون إلا كذبا} وفي " الصحيح " عن النبي صلى الله عليه وسلم أنه قال: " {أفضل الكلام بعد القرآن أربع كلمات وهن في القرآن: سبحان الله والحمد لله ولا إله إلا الله والله أكبر} ". رواه مسلم. وقال تعالى: {إليه يصعد الكلم الطيب والعمل الصالح يرفعه} ومثل هذا كثير. وفي الجملة: حيث ذكر الله في كتابه عن أحد من الخلق من الأنبياء أو أتباعهم أو مكذبيهم أنهم قالوا ويقولون وذلك قولهم وأمثال ذلك؛ فإنما يعني به المعنى مع اللفظ. فهذا اللفظ وما تصرف منه من فعل ماض ومضارع وأمر ومصدر واسم فاعل من لفظ القول والكلام ونحوهما؛ إنما يعرف في القرآن والسنة وسائر كلام العرب إذا كان لفظا ومعنى وكذلك أنواعه كالتصديق والتكذيب والأمر والنهي وغير ذلك. وهذا مما لا يمكن أحدا جحده فإنه أكثر من أن يحصى. ولم يكن في مسمى " الكلام " نزاع بين الصحابة والتابعين لهم بإحسان وتابعيهم لا من أهل السنة ولا من أهل البدعة. بل</t>
  </si>
  <si>
    <t xml:space="preserve">الوجه الرابع عشر: قوله: ولا وجه للعدول بالآيات التي تدل على أنه عربي عن ظاهرها، فيقال له: الآيات التي فسرت المؤمن، وسلبت الإيمان عمن لم يعمل؛ أصرح وأبين وأكثر من هذه الآيات. ثم إذا دلت على أنه عربي، فما ذكر لا يخرجه عن كونه عربيا؛ ولهذا لما خاطبهم بلفظ الصلاة والحج وغير ذلك، لم يقولوا: هذا ليس بعربي. بل خاطبهم باسم المنافقين، وقد ذكر أهل اللغة أن هذا الاسم لم يكن يعرف في الجاهلية، ولم يقولوا: إنه ليس بعربي، لأن المنافق مشتق من نفق إذا خرج، فإذا كان اللفظ مشتقا من لغتهم وقد تصرف فيه المتكلم به كما جرت عادتهم في لغتهم، لم يخرج ذلك عن كونه عربيا. الوجه الخامس عشر: أنه لو فرض أن هذه الألفاظ ليست عربية، فليس تخصيص عموم هذه الألفاظ بأعظم من إخراج لفظ الإيمان عما دل عليه الكتاب والسنة وإجماع السلف، فإن النصوص التي تنفي الإيمان عمن لا يحب الله ورسوله، ولا يخاف الله ولا يتقيه ولا يعمل شيئا من الواجب، ولا يترك شيئا من المحرم، كثيرة صريحة، فإذا قدر أنها عارضها آية، كان تخصيص اللفظ القليل العام أولي من رد النصوص الكثيرة الصريحة. السادس عشر: أن هؤلاء واقفة في ألفاظ العموم لا يقولون بعمومها والسلف يقولون: الرسول وقفنا على معاني الإيمان وبينه لنا. وعلمنا مراده منه بالاضطرار، وعلمنا من مراده علما ضروريا أن من قيل: إنه صدق. ولم يتكلم بلسانه بالإيمان مع قدرته على ذلك، ولا صلى ولا صام، ولا أحب الله ورسوله ولا خاف الله، بل كان مبغضا للرسول، معاديا له يقاتله، أن هذا ليس بمؤمن. كما قد علمنا أن الكفار من المشركين وأهل الكتاب الذين كانوا يعلمون أنه رسول الله وفعلوا ذلك معه، كانوا عنده كفارا لا مؤمنين، فهذا معلوم عندنا بالاضطرار أكثر من علمنا بأن القرآن كله ليس فيه لفظ غير عربي. فلو قدر التعارض، لكان تقديم ذلك العلم الضروري أولى. فإن قالوا: من علم أن الرسول كفره، علم انتفاء التصديق من قلبه. قيل لهم: هذه مكابرة، إن أرادوا أنهم كانوا شاكين مرتابين. وأما إن عني التصديق الذي لم يحصل معه عمل، فهو ناقص كالمعدوم، فهذا صحيح. ثم إنما يثبت، إذا ثبت أن الإيمان مجرد تصديق القلب وعلمه، وذاك إنما يثبت بعد تسليم هذه المقدمات التي منها هذا، فلا تثبت الدعوى بالدعوي مع كفر صاحبها. ثم يقال: قد علمنا بالاضطرار أن اليهود وغيرهم كانوا يعرفون أن محمدا رسول الله، وكان يحكم بكفرهم. فقد علمنا من دينه ضرورة أنه يكفر الشخص مع ثبوت التصديق بنبوته في القلب، إذا لم يعمل بهذا التصديق، بحيث يحبه ويعظمه، ويسلم لما جاء به. ومما يعارضون به أن يقال: هذا الذي ذكرتموه، إن كان صحيحا، فهو أدل على قول المرجئة، بل على قول الكرامية منه على قولكم، وذلك أن الإيمان إذا كان هو التصديق كما ذكرتم، فالتصديق نوع من أنواع الكلام، فاستعمال لفظ الكلام والقول ونحو ذلك في المعنى واللفظ، بل في اللفظ الدال على المعنى أكثر في اللغة من استعماله في المعنى المجرد عن اللفظ، بل لا يوجد قط إطلاق اسم الكلام ولا أنواعه: كالخبر أو التصديق والتكذيب والأمر والنهي على مجرد المعنى من غير شيء يقترن به من عبارة ولا إشارة ولا غيرهما، وإنما يستعمل مقيدا. وإذا كان الله إنما أنزل القرآن بلغة العرب، فهي لا تعرف التصديق والتكذيب وغيرهما من الأقوال إلا ما كان معنى ولفظا، أو لفظا يدل على معنى؛ ولهذا لم يجعل الله أحدا مصدقا للرسل بمجرد العلم والتصديق الذي في قلوبهم حتى يصدقوهم بألسنتهم، ولا يوجد في كلام العرب أن يقال: فلان صدق فلانا أو كذبه، إذا كان يعلم بقلبه أنه صادق أو كاذب ولم يتكلم بذلك، كما لا يقال: أمره أو نهاه، إذا قام بقلبه طلب مجرد عما يقترن به من لفظ أو إشارة أو نحوهما. ولما قال النبي صلى الله عليه وسلم: " إن صلاتنا هذه لا يصلح فيها شيء من كلام الناس ". وقال: " إن الله يحدث من أمره ما شاء، وإن مما أحدث ألا تكلموا في الصلاة " اتفق العلماء على أنه إذا تكلم في الصلاة عامدا لغير مصلحتها، بطلت صلاته. واتفقوا كلهم على أن ما يقوم بالقلب من تصديق بأمور دنيوية وطلب لا يبطل الصلاة، وإنما يبطلها التكلم بذلك، فعلم اتفاق المسلمين على أن هذا ليس بكلام.</t>
  </si>
  <si>
    <t xml:space="preserve">MF-V07-S07-P002</t>
  </si>
  <si>
    <t xml:space="preserve">IMN-S00-P088</t>
  </si>
  <si>
    <t xml:space="preserve">بن معدان عن أبي هريرة قال: قال رسول الله صلى الله عليه وسلم {إن للإسلام صوى ومنارا كمنار الطريق من ذلك أن تعبد الله ولا تشرك به شيئا. وأن تقيم الصلاة وتؤتي الزكاة وتصوم رمضان والأمر بالمعروف والنهي عن المنكر وتسلم على بني آدم إذ لقيتهم فإن ردوا عليك ردت عليك وعليهم الملائكة وإن لم يردوا عليك ردت عليك الملائكة ولعنتهم إن سكت عنهم وتسليمك على أهل بيتك إذا دخلت عليهم فمن انتقص منهن شيئا فهو سهم في الإسلام تركه ومن تركهن فقد نبذ الإسلام وراء ظهره} . وقد قال تعالى: {يا أيها الذين آمنوا ادخلوا في السلم كافة} قال مجاهد: وقتادة: نزلت في المسلمين يأمرهم بالدخول في شرائع الإسلام كلها وهذا لا ينافي قول من قال: نزلت فيمن أسلم من أهل الكتاب أو فيمن لم يسلم لأن هؤلاء كلهم مأمورون أيضا بذلك والجمهور يقولون: {في السلم} أي في الإسلام وقالت طائفة: هو الطاعة وكلاهما مأثور عن ابن عباس وكلاهما حق فإن الإسلام هو الطاعة كما تقدم أنه من باب الأعمال. وأما قوله: {كافة} فقد قيل: المراد ادخلوا كلكم. وقيل: المراد به ادخلوا في الإسلام جميعه وهذا هو الصحيح فإن الإنسان لا يؤمر بعمل غيره وإنما يؤمر بما يقدر عليه وقوله: {ادخلوا} خطاب لهم كلهم فقوله {كافة} إن أريد به مجتمعين لزم أن يترك الإنسان الإسلام حتى يسلم غيره فلا يكون الإسلام مأمورا به إلا بشرط موافقة الغير له كالجمعة وهذا لا يقوله مسلم وإن أريد ب " {كافة} ": أي ادخلوا جميعكم فكل أوامر القرآن كقوله: {آمنوا بالله ورسوله} {وأقيموا الصلاة وآتوا الزكاة} كلها من هذا الباب وما قيل فيها كافة وقوله تعالى {وقاتلوا المشركين كافة} أي قاتلوهم كلهم لا تدعوا مشركا حتى تقاتلوه فإنها أنزلت بعد نبذ العهود ليس المراد: قاتلوهم مجتمعين أو جميعكم فإن هذا لا يجب بل يقاتلون بحسب المصلحة والجهاد فرض على الكفاية فإذا كانت فرائض الأعيان لم يؤكد المأمورين فيها ب " {كافة} " فكيف يؤكد بذلك في فروض الكفاية وإنما المقصود تعميم المقاتلين. وقوله: {كما يقاتلونكم كافة} فيه احتمالان. والمقصود أن الله أمر بالدخول في جميع الإسلام كما دل عليه هذا الحديث فكل ما كان من الإسلام وجب الدخول فيه فإن كان واجبا على الأعيان لزمه فعله وإن كان واجبا على الكفاية اعتقد وجوبه وعزم عليه إذا تعين أو أخذ بالفضل ففعله وإن كان مستحبا اعتقد حسنه وأحب فعله وفي حديث جرير {أن رجلا قال: يا رسول الله صف لي الإسلام. قال: تشهد أن لا إله إلا الله وتقر بما جاء من عند الله وتقيم الصلاة وتؤتي الزكاة وتصوم رمضان وتحج البيت قال: أقررت؛} في قصة طويلة فيها أنه وقع في أخاقيق جرذان وأنه قتل وكان جائعا وملكان يدسان في شدقه من ثمار الجنة. فقوله: {وتقر بما جاء من عند الله} . هو الإقرار بأن محمدا رسول الله فإنه هو الذي جاء بذلك. وفي الحديث الذي يرويه أبو سليمان الداراني: حديث {الوفد الذين قالوا: نحن المؤمنون قال: فما علامة إيمانكم؟ قالوا: خمس عشرة خصلة: خمس أمرتنا رسلك أن نعمل بهن وخمس أمرتنا رسلك أن نؤمن بهن وخمس تخلقنا بها في الجاهلية ونحن عليها في الإسلام إلا أن تكره منها شيئا. قال: فما الخمس التي أمرتكم رسلي أن تعملوا بها؟ قالوا: أن نشهد أن لا إله إلا الله وأن محمدا رسول الله ونقيم الصلاة ونؤتي الزكاة ونصوم رمضان ونحج البيت. قال: وما الخمس التي أمرتكم أن تؤمنوا بها؟ قالوا أمرتنا أن نؤمن بالله وملائكته وكتبه ورسله والبعث بعد الموت قال: وما الخمس التي تخلقتم بها في الجاهلية وثبتم عليها في الإسلام؟ قالوا: الصبر عند البلاء والشكر عند الرخاء والرضى بمر القضاء والصدق في مواطن اللقاء وترك الشماتة بالأعداء فقال النبي صلى الله عليه وسلم علماء حكماء كادوا من صدقهم أن يكونوا أنبياء. فقال صلى الله عليه وسلم وأنا أزيدكم خمسا فتتم لكم عشرون خصلة: إن كنتم كما تقولون فلا تجمعوا ما لا تأكلون ولا تبنوا ما لا تسكنون ولا تنافسوا في شيء أنتم عنه غدا تزولون وعنه منتقلون واتقوا الله الذي إليه ترجعون وعليه تعرضون وارغبوا فيما عليه تقدمون وفيه تخلدون} . فقد فرقوا بين الخمس التي يعمل بها فجعلوها الإسلام؛ والخمس التي يؤمن بها فجعلوها الإيمان؛ وجميع الأحاديث المأثورة عن النبي صلى الله عليه وسلم تدل على مثل هذا. وفي الحديث الذي رواه أحمد من حديث أيوب عن أبي قلابة {عن رجل من أهل الشام عن أبيه أن النبي صلى الله عليه وسلم قال له: أسلم تسلم قال:</t>
  </si>
  <si>
    <t xml:space="preserve">وفي حديث عبيد بن عمير عن عمرو بن عبسة عن النبي صلىالله عليه وسلم؛ أن رجلا قال للنبي صلى الله عليه وسلم: ما الإسلام؟ قال: " إطعام الطعام، ولين الكلام " قال: فما الإيمان؟ قال: " السماحة والصبر " فإطعام الطعام عمل ظاهر يفعله الإنسان لمقاصد متعددة، وكذلك لين الكلام، وأما السماحة والصبر فخلقان في النفس، قال تعالى: {وتواصوا بالصبر وتواصوا بالمرحمة} [البلد: 17] ، وهذا أعلى من ذاك، وهو أن يكون صبارا شكورا فيه سماحة بالرحمة للإنسان وصبر على المكاره، وهذا ضد الذي خلق هلوعا إذا مسه الشر جزوعا، وإذا مسه الخير منوعا، فإن ذاك ليس فيه سماحة عند النعمة، ولا صبر عند المصيبة. وتمام الحديث: فأي الإسلام أفضل؟ قال: " من سلم المسلمون من لسانه ويده " قال: يا رسول الله، أي المؤمنين أكمل إيمانا؟ قال: " أحسنهم خلقا " قال: يا رسول الله، أي القتل أشرف؟ قال: " من أريق دمه، وعقر جواده " قال: يا رسول الله، فأي الجهاد أفضل؟ قال: " الذين جاهدوا بأموالهم وأنفسهم في سبيل الله ". قال: يا رسول الله، فأي الصدقة أفضل؟ قال: " جهد المقل ". قال: يا رسول الله، فأي الصلاة أفضل؟ قال: " طول القنوت ". قال: يا رسول الله، فأي الهجرة أفضل؟ قال: " من هجر السوء ". وهذا محفوظ عن عبيد بن عمير، تارة يروى مرسلا، وتارة يروى مسندا، وفي رواية: أي الساعات أفضل؟ قال: " جوف الليل الغابر " وقوله: " أفضل الإيمان السماحة والصبر " يروى من وجه آخر عن جابر عن النبي صلىالله عليه وسلم. وهكذا في سائر الأحاديث، إنما يفسر الإسلام بالاستسلام لله بالقلب مع الأعمال الظاهرة، كما في الحديث المعروف الذي رواه أحمد عن بهز بن حكيم عن أبيه عن جده؛ أنه قال: والله يا رسول الله، ما أتيتك حتى حلفت عدد أصابعي هذه ألا آتيك، فبالذي بعثك بالحق ما بعثك به؟ قال: " الإسلام ". قال: وما الإسلام؟ قال: " أن تسلم قلبك لله وأن توجه وجهك إلى الله، وأن تصلي الصلاة المكتوبة، وتؤدي الزكاة المفروضة، أخوان نصيران، لا يقبل الله من عبد أشرك بعد إسلامه ". وفي رواية قال: " أن تقول: أسلمت وجهي لله وتخليت، وتقيم الصلاة، وتؤتي الزكاة، وكل مسلم على مسلم محرم " وفي لفظ تقول: " أسلمت نفسي لله، وخليت وجهي إليه ". وروى محمد بن نصر من حديث خالد بن معدان عن أبي هريرة قال: قال رسول الله صلى الله عليه وسلم: " إن للإسلام صوى ومنارا كمنار الطريق، من ذلك أن تعبد الله ولا تشرك به شيئا، وأن تقيم الصلاة، وتؤتي الزكاة، وتصوم رمضان، والأمر بالمعروف، والنهي عن المنكر، وتسلم على بني آدم إذا لقيتهم، فإن ردوا عليك، ردت عليك وعليهم الملائكة، وإن لم يردوا عليك ردت عليك الملائكة ولعنتهم إن سكت عنهم، وتسليمك على أهل بيتك إذا دخلت عليهم، فمن انتقص منهن شيئا فهو سهم في الإسلام تركه، ومن تركهن فقد نبذ الإسلام وراء ظهره ". وقد قال تعالى: {يا أيها الذين آمنوا ادخلوا في السلم كآفة} [البقرة: 208] قال مجاهد وقتادة: نزلت في المسلمين يأمرهم بالدخول في شرائع الإسلام كلها، وهذا لا ينافي قول من قال: نزلت فيمن أسلم من أهل الكتاب أو فيمن لم يسلم؛ لأن هؤلاء كلهم مأمورون أيضا بذلك، والجمهور يقولون: {في السلم} أي: في الإسلام. وقالت طائفة: هو الطاعة، وكلاهما مأثور عن ابن عباس، وكلاهما حق، فإن الإسلام هو الطاعة كما تقدم أنه من باب الأعمال. وأما قوله: {كآفة} فقد قيل: المراد ادخلوا كلكم. وقيل: المراد به ادخلوا في الإسلام جميعه، وهذا هو الصحيح، فإن الإنسان لا يؤمر بعمل غيره، وإنما يؤمر بما يقدر عليه، وقوله: {ادخلوا} خطاب لهم كلهم فقوله: {كآفة} إن أريد به مجتمعين لزم أن يترك الإنسان الإسلام حتى يسلم غيره فلا يكون الإسلام مأمورا به إلا بشرط موافقة الغير له كالجمعة، وهذا لا يقوله مسلم، وإن أريد بكافة: أي: ادخلوا جميعكم، فكل أوامر القرآن كقوله: {آمنوا بالله ورسوله} [الحديد: 7] ، {وأقيموا الصلاة وآتوا الزكاة} [النور: 56] كلها من هذا الباب، وما قيل فيها كافة، وقوله تعالى: {وقاتلوا المشركين كآفة} [التوبة: 36] أي: قاتلوهم كلهم لا تدعوا مشركا حتى تقاتلوه، فإنها أنزلت بعد نبذ العهود، ليس المراد: قاتلوهم مجتمعين أو جميعكم، فإن هذا لا يجب، بل يقاتلون بحسب المصلحة، والجهاد فرض على الكفاية، فإذا كانت فرائض الأعيان لم يؤكد المأمورين فيها بكافة، فكيف يؤكد بذلك في فروض الكفاية؟ ! وإنما المقصود تعميم المقاتلين. وقوله: {وقاتلوا المشركين كآفة} [التوبة: 36] فيه احتمالان.</t>
  </si>
  <si>
    <t xml:space="preserve">MF-V07-S00-P021</t>
  </si>
  <si>
    <t xml:space="preserve">IMN-S00-P022</t>
  </si>
  <si>
    <t xml:space="preserve">ما يقدر عليه مثله من الاجتهاد في التقليد؛ فهذا لا يؤاخذ إن أخطأ كما في القبلة. وأما إن قلد شخصا دون نظيره بمجرد هواه ونصره بيده ولسانه من غير علم أن معه الحق؛ فهذا من أهل الجاهلية. وإن كان متبوعه مصيبا؛ لم يكن عمله صالحا. وإن كان متبوعه مخطئا؛ كان آثما. كمن قال في القرآن برأيه؛ فإن أصاب فقد أخطأ وإن أخطأ فليتبوأ مقعده من النار. وهؤلاء من جنس مانع الزكاة الذي تقدم فيه الوعيد ومن جنس عبد الدينار والدرهم والقطيفة والخميصة فإن ذلك لما أحب المال حبا منعه عن عبادة الله وطاعته صار عبدا له. وكذلك هؤلاء؛ فيكون فيه شرك أصغر ولهم من الوعيد بحسب ذلك. وفي الحديث: {إن يسير الرياء شرك} . وهذا مبسوط عند النصوص التي فيها إطلاق الكفر والشرك على كثير من الذنوب. والمقصود هنا: أن الظلم المطلق يتناول الكفر ولا يختص بالكفر؛ بل يتناول ما دونه أيضا وكل بحسبه كلفظ " الذنب " و " الخطيئة " " والمعصية ". فإن هذا يتناول الكفر والفسوق والعصيان كما في " الصحيحين " عن {عبد الله بن مسعود قال: قلت يا رسول الله أي الذنب أعظم؟ قال: أن تجعل لله ندا وهو خلقك. قلت: ثم أي؟ قال: ثم أن تقتل ولدك خشية أن يطعم معك. قلت: ثم أي؟ قال: ثم أن تزاني بحليلة جارك فأنزل الله تعالى: {والذين لا يدعون مع الله إلها آخر ولا يقتلون النفس التي حرم الله إلا بالحق ولا يزنون ومن يفعل ذلك يلق أثاما} {يضاعف له العذاب يوم القيامة ويخلد فيه مهانا} {إلا من تاب وآمن وعمل عملا صالحا فأولئك يبدل الله سيئاتهم حسنات وكان الله غفورا رحيما} {ومن تاب وعمل صالحا فإنه يتوب إلى الله متابا} .} فهذا الوعيد بتمامه على الثلاثة ولكل عمل قسط منه؛ فلو أشرك ولم يقتل ولم يزن؛ كان عذابه دون ذلك. ولو زنى وقتل ولم يشرك؛ كان له من هذا العذاب نصيب كما في قوله: {ومن يقتل مؤمنا متعمدا فجزاؤه جهنم خالدا فيها وغضب الله عليه ولعنه وأعد له عذابا عظيما} . ولم يذكر: (أبدا) . وقد قيل: إن لفظ " التأبيد " لم يجئ إلا مع الكفر وقال الله تعالى: {ويوم يعض الظالم على يديه يقول يا ليتني اتخذت مع الرسول سبيلا} {يا ويلتى ليتني لم أتخذ فلانا خليلا} {لقد أضلني عن الذكر بعد إذ جاءني وكان الشيطان للإنسان خذولا} . فلا ريب أن هذا يتناول الكافر الذي لم يؤمن بالرسول. وسبب نزول الآية كان في ذلك فإن " الظلم المطلق " يتناول ذلك ويتناول ما دونه بحسبه. فمن خال مخلوقا في خلاف أمر الله ورسوله؛ كان له من هذا الوعيد نصيب كما قال تعالى: {الأخلاء يومئذ بعضهم لبعض عدو إلا المتقين} . وقال تعالى: {إذ تبرأ الذين اتبعوا من الذين اتبعوا ورأوا العذاب وتقطعت بهم الأسباب} . قال الفضيل بن عياض: حدثنا الليث عن مجاهد: هي المودات التي كانت بينهم لغير الله. فإن " المخالة " تحاب وتواد؛ ولهذا قال: {المرء على دين خليله} فإن المتحابين يحب أحدهما ما يحب الآخر بحسب الحب فإذا اتبع أحدهما صاحبه على محبته ما يبغضه الله ورسوله؛ نقص من دينهما بحسب ذلك إلى أن ينتهي إلى الشرك الأكبر قال تعالى: {ومن الناس من يتخذ من دون الله أندادا يحبونهم كحب الله والذين آمنوا أشد حبا لله} . والذين قدموا محبة المال الذي كنزوه والمخلوق الذي اتبعوه على محبة الله ورسوله كان فيهم من الظلم والشرك بحسب ذلك فلهذا ألزمهم محبوبهم كما في الحديث يقول الله تعالى: {أليس عدلا مني أن أولي كل رجل منكم ما كان يتولاه في الدنيا} . وقد ثبت في " الصحيح " يقول: {ليذهب كل قوم إلى ما كانوا يعبدون؛ فمن كان يعبد الشمس الشمس ومن كان يعبد القمر القمر ومن كان يعبد الطواغيت الطواغيت ويمثل للنصارى المسيح ولليهود عزير. فيتبع كل قوم ما كانوا يعبدون وتبقى هذه الأمة فيها منافقوها} كما سيأتي هذا الحديث - إن شاء الله - فهؤلاء " أهل الشرك الأكبر ". وأما " عبيد المال " الذين كنزوه وعبيد الرجال الذين أطاعوهم في معاصي الله فأولئك يعذبون عذابا دون عذاب أولئك المشركين؛ إما في عرصات القيامة وإما في جهنم ومن أحب شيئا دون الله عذب به. وقال تعالى: {يا أيها الذين آمنوا أنفقوا مما رزقناكم من قبل أن يأتي يوم لا بيع فيه ولا خلة ولا شفاعة والكافرون هم الظالمون} . " فالكفر المطلق " هو الظلم المطلق؛ ولهذا لا شفيع لأهله يوم القيامة كما نفى الشفاعة في هذه الآية وفي قوله: {وأنذرهم يوم الآزفة إذ القلوب لدى الحناجر كاظمين ما للظالمين من حميم ولا شفيع يطاع} {يعلم خائنة الأعين وما تخفي الصدور} . وقال: {فكبكبوا فيها هم والغاوون} {وجنود</t>
  </si>
  <si>
    <t xml:space="preserve">وقوله في سياق الآية: {إنهم كانوا إذا قيل لهم لا إله إلا الله يستكبرون} [الصافات: 35] ، ولا ريب أنها تتناول الشركين: الأصغر والأكبر، وتتناول أيضا من استكبر عما أمره الله به من طاعته، فإن ذلك من تحقيق قول: لا إله إلا الله؛ فإن الإله هو المستحق للعبادة، فكل ما يعبد به الله فهو من تمام تأله العباد له، فمن استكبر عن بعض عبادته سامعا مطيعا في ذلك لغيره، لم يحقق قول: لا إله إلا الله، في هذا المقام. وهؤلاء الذين اتخذوا أحبارهم ورهبانهم أربابا حيث أطاعوهم في تحليل ما حرم الله وتحريم ما أحل الله يكونون على وجهين: أحدهما: أن يعلموا أنهم بدلوا دين الله فيتبعونهم على التبديل، فيعتقدون تحليل ما حرم الله، وتحريم ما أحل الله، اتباعا لرؤسائهم، مع علمهم أنهم خالفوا دين الرسل، فهذا كفر، وقد جعله الله ورسوله شركا وإن لم يكونوا يصلون لهم ويسجدون لهم فكان من اتبع غيره في خلاف الدين مع علمه أنه خلاف الدين، واعتقد ما قاله ذلك، دون ما قاله الله ورسوله مشركا مثل هؤلاء. والثاني: أن يكون اعتقادهم وإيمانهم بتحريم الحلال وتحليل الحرام ثابتا، لكنهم أطاعوهم في معصية الله، كما يفعل المسلم ما يفعله من المعاصي التي يعتقد أنها معاص، فهؤلاء لهم حكم أمثالهم من أهل الذنوب، كما ثبت في الصحيح عن النبي صلى الله عليه وسلم أنه قال: " إنما الطاعة في المعروف "، وقال: " على المسلم السمع والطاعة فيما أحب أو كره، ما لم يؤمر بمعصية "، وقال: " لا طاعة لمخلوق في معصية الخالق "، وقال: " من أمركم بمعصية الله فلا تطيعوه ". ثم ذلك المحرم للحلال والمحلل للحرام، إن كان مجتهدا قصده اتباع الرسول، لكن خفي عليه الحق في نفس الأمر، وقد اتقى الله ما استطاع فهذا لا يؤاخذه الله بخطئه، بل يثيبه على اجتهاده الذي أطاع به ربه. ولكن من علم أن هذا خطأ فيما جاء به الرسول، ثم اتبعه على خطئه، وعدل عن قول الرسول فهذا له نصيب من هذا الشرك الذي ذمه الله، لاسيما إن اتبع في ذلك هواه، ونصره باللسان واليد، مع علمه بأنه مخالف للرسول، فهذا شرك يستحق صاحبه العقوبة عليه. ولهذا اتفق العلماء على أنه إذا عرف الحق لا يجوز له تقليد أحد في خلافه، وإنما تنازعوا في جواز التقليد للقادر على الاستدلال، وإن كان عاجزا عن إظهار الحق الذي يعلمه، فهذا يكون كمن عرف أن دين الإسلام حق وهو بين النصارى، فإذا فعل ما يقدر عليه من الحق، لا يؤاخذ بما عجز عنه، وهؤلاء كالنجاشي وغيره. وقد أنزل الله في هؤلاء آيات من كتابه، كقوله تعالى: {وإن من أهل الكتاب لمن يؤمن بالله وما أنزل إليكم ومآ أنزل إليهم} [آل عمران: 199] ، وقوله: {ومن قوم موسى أمة يهدون بالحق وبه يعدلون} [الأعراف: 159] ، وقوله: {ما أنزل إلى الرسول ترى أعينهم تفيض من الدمع مما عرفوا من الحق} [المائدة: 83] . وأما إن كان المتبع للمجتهد عاجزا عن معرفة الحق على التفصيل، وقد فعل ما يقدر عليه مثله من الاجتهاد في التقليد فهذا لا يؤاخذ إن أخطأ، كما في القبلة. وأما إن قلد شخصا دون نظيره بمجرد هواه، ونصره بيده ولسانه، من غير علم أن معه الحق فهذا من أهل الجاهلية، وإن كان متبوعه مصيبا، لم يكن عمله صالحا. وإن كان متبوعه مخطئا، كان آثما، كمن قال في القرآن برأيه، فإن أصاب فقد أخطأ، وإن أخطأ فليتبوأ مقعده من النار. وهؤلاء من جنس مانع الزكاة الذي تقدم فيه الوعيد، ومن جنس عبد الدينار والدرهم والقطيفة والخميصة، فإن ذلك لما أحب المال حبا منعه عن عبادة الله وطاعته، صار عبدا له. وكذلك هؤلاء، فيكون فيه شرك أصغر، ولهم من الوعيد بحسب ذلك. وفي الحديث: " إن يسير الرياء شرك ". وهذا مبسوط عند النصوص التي فيها إطلاق الكفر والشرك على كثير من الذنوب. والمقصود هنا أن الظلم المطلق يتناول الكفر، ولا يختص بالكفر، بل يتناول ما دونه أيضا، وكل بحسبه، كلفظ [الذنب] و [الخطيئة] و [المعصية] ، فإن هذا يتناول الكفر والفسوق والعصيان، كما في الصحيحين عن عبد الله بن مسعود قال: قلت: يا رسول الله، أي الذنب أعظم؟ قال: " أن تجعل لله ندا وهو خلقك ". قلت: ثم أي؟ قال: " ثم أن تقتل ولدك خشية أن يطعم معك ". قلت: ثم أي؟ قال: " ثم أن تزاني بحليلة جارك "، فأنزل الله تعالى: {والذين لا يدعون مع الله إلها آخر ولا يقتلون النفس التي حرم الله إلا بالحق ولا يزنون ومن يفعل ذلك يلق أثاما يضاعف له العذاب يوم القيامة ويخلد فيه مهانا إلا من تاب وآمن وعمل عملا صالحا فأولئك يبدل الله سيئاتهم حسنات وكان الله غفورا رحيما ومن تاب وعمل صالحا فإنه يتوب إلى الله متابا} [الفرقان: 68: 71] .</t>
  </si>
  <si>
    <t xml:space="preserve">Düşük (gürültü mü gerçek mi?)</t>
  </si>
  <si>
    <t xml:space="preserve">MF-V07-S06-P020</t>
  </si>
  <si>
    <t xml:space="preserve">IMN-S00-P085</t>
  </si>
  <si>
    <t xml:space="preserve">وأحمد إن كان أراد في هذه الرواية أن الإسلام هو الشهادتان فقط فكل من قالها فهو مسلم فهذه إحدى الروايات عنه والرواية الأخرى: لا يكون مسلما حتى يأتي بها ويصلي فإذا لم يصل كان كافرا. و " الثالثة " أنه كافر بترك الزكاة أيضا. و " الرابعة " أنه يكفر بترك الزكاة إذا قاتل الإمام عليها دون ما إذا لم يقاتله وعنه أنه لو قال: أنا أؤديها ولا أدفعها إلى الإمام لم يكن للإمام أن يقتله وكذلك عنه رواية أنه يكفر بترك الصيام والحج إذا عزم أنه لا يحج أبدا. ومعلوم أنه على القول بكفر تارك المباني يمتنع أن يكون الإسلام مجرد الكلمة بل المراد أنه إذا أتى بالكلمة دخل في الإسلام وهذا صحيح فإنه يشهد له بالإسلام ولا يشهد له بالإيمان الذي في القلب ولا يستثنى في هذا الإسلام لأنه أمر مشهور لكن الإسلام الذي هو أداء الخمس كما أمر به يقبل الاستثناء فالإسلام الذي لا يستثنى فيه الشهادتان باللسان فقط فإنها لا تزيد ولا تنقص فلا استثناء فيها. وقد صار</t>
  </si>
  <si>
    <t xml:space="preserve">قلت لأبي عبد الله: رواه غير سويد؟ قال: ما علمت بذلك، وسمعت أبا عبد الله يقول: الإيمان قول وعمل. قلت لأبي عبد الله: فالحديث الذي يروى: " أعتقها فإنها مؤمنة " قال: ليس كل أحد يقول: إنها مؤمنة، يقولون: أعتقها. قال: ومالك سمعه من هذا الشيخ هلال بن علي لا يقول: " فإنها مؤمنة " وقد قال بعضهم بأنها مؤمنة، فهي حين تقر بذاك فحكمها حكم المؤمنة، وهذا معناه. قلت لأبي عبد الله: تفرق بين الإيمان والإسلام؟ فقال: قد اختلف الناس فيه، وكان حماد بن زيد زعموا يفرق بين الإيمان والإسلام، قيل له: من المرجئة؟ قال: الذين يقولون: الإيمان قول بلا عمل. قلت: فأحمد بن حنبل لم يرد قط أنه سلب جميع الإيمان فلم يبق معه منه شيء، كما تقوله الخوارج والمعتزلة، فإنه قد صرح في غير موضع بأن أهل الكبائر معهم إيمان يخرجون به من النار، واحتج بقول النبي صلى الله عليه وسلم: " أخرجوا من النار من كان في قلبه مثقال ذرة من إيمان "، وليس هذا قوله ولا قول أحد من أئمة أهل السنة، بل كلهم متفقون على أن الفساق الذين ليسوا منافقين معهم شيء من الإيمان يخرجون به من النار، هو الفارق بينهم وبين الكفار والمنافقين، لكن إذا كان معه بعض الإيمان لم يلزم أن يدخل في الاسم المطلق الممدوح، وصاحب الشرع قد نفى الاسم عن هؤلاء فقال: " لا يرني الزاني حين يزني وهو مؤمن "، وقال: " لا يؤمن أحدكم حتي يحب لأخيه من الخير ما يحب لنفسه " وقال: " لا يؤمن من لا يأمن جاره بوائقه " وأقسم على ذلك مرات وقال: " المؤمن من أمنه الناس على دمائهم وأموالهم " والمعتزلة ينفون عنه اسم الإيمان بالكلية، واسم الإسلام أيضا ويقولون: ليس معه شيء من الإيمان والإسلام، ويقولون: ننزله منزلة بين منزلتين، فهم يقولون: إنه يخلد في النار لا يخرج منها بالشفاعة، وهذا هو الذي أنكر عليهم، وإلا لو نفوا مطلق الاسم وأثبتوا معه شيئا من الإيمان يخرج به من النار لم يكونوا مبتدعة، وكل أهل السنة متفقون على أنه قد سلب كمال الإيمان الواجب، فزال بعض إيمانه الواجب، لكنه من أهل الوعيد، وإنما ينازع في ذلك من يقول: الإيمان لا يتبعض من الجهمية والمرجئة، فيقولون: إنه كامل الإيمان، فالذي ينفى إطلاق الاسم يقول: الاسم المطلق مقرون بالمدح واستحقاق الثواب، كقولنا: متق، وبر، وعلى الصراط المستقيم، فإذا كان الفاسق لا تطلق عليه هذه الأسماء، فكذلك اسم الإيمان، وأما دخوله في الخطاب، فلأن المخاطب باسم الإيمان كل من معه شيء منه؛ لأنه أمر لهم، فمعاصيهم لا تسقط عنهم الأمر. وأما ما ذكره أحمد في الإسلام، فاتبع فيه الزهري حيث قال: فكانوا يرون الإسلام الكلمة، والإيمان العمل، في حديث سعد بن أبي وقاص، وهذا على وجهين، فإنه قد يراد به الكلمة بتوابعها من الأعمال الظاهرة، وهذا هو الإسلام الذي بينه النبي صلى الله عليه وسلم حيث قال: " الإسلام: أن تشهد أن لا إله إلا الله وأن محمدا رسول الله، وتقيم الصلاة، وتؤتي الزكاة، وتصوم رمضان، وتحج البيت ". وقد يراد به الكلمة فقط من غير فعل الواجبات الظاهرة، وليس هذا هو الذي جعله النبي صلى الله عليه وسلم الإسلام. لكن قد يقال: إسلام الأعراب كان من هذا، فيقال: الأعراب وغيرهم كانوا إذا أسلموا على عهد النبي صلى الله عليه وسلم ألزموا بالأعمال الظاهرة: الصلاة، والزكاة، والصيام، والحج، ولم يكن أحد يترك بمجرد الكلمة، بل كان من أظهر المعصية يعاقب عليها. وأحمد إن كان أراد في هذه الرواية أن الإسلام هو الشهادتان فقط، فكل من قالها فهو مسلم، فهذه إحدى الروايات عنه، والرواية الأخرى: لا يكون مسلما حتى يأتي بها ويصلي، فإذا لم يصل كان كافرا. والثالثة: أنه كافر بترك الزكاة أيضا. والرابعة: أنه يكفر بترك الزكاة إذا قاتل الإمام عليها دون ما إذا لم يقاتله، وعنه أنه لو قال: أنا أؤديها ولا أدفعها إلى الإمام، لم يكن للإمام أن يقتله، وكذلك عنه رواية أنه يكفر</t>
  </si>
  <si>
    <t xml:space="preserve">Claude'un etiketi</t>
  </si>
  <si>
    <t xml:space="preserve">Claude'un gerekçesi</t>
  </si>
  <si>
    <t xml:space="preserve">⚠️ Bu sayfa atölye SIRASINDA görünmemeli. Cohen κ (inter-rater agreement) hesaplanabilmesi için Hüseyin Hoca'nın bağımsız etiketleri öncelikli. Atölye SONRASI tahkim için açılır.</t>
  </si>
  <si>
    <t xml:space="preserve">EDITED</t>
  </si>
  <si>
    <t xml:space="preserve">Albani giriş cümlesini ('قلت: لفظ المجمل والمطلق...') atmış, 'ليست مما لا يفهم المراد به...' sonrası birebir aynı. Sonunda Albani daha geniş devam içeriği ekliyor.</t>
  </si>
  <si>
    <t xml:space="preserve">Kaynak 'فصل: ومما يسأل عنه...' fasıl başlığıyla açılıyor; hedef 'والتحقيق أن النبي...' sonrasını birebir alıyor. Albani başlığı + ön argümanı çıkarmış.</t>
  </si>
  <si>
    <t xml:space="preserve">Hedef daha geniş bağlam içeriyor (754 vs 624 kelime); Albani önceki passage'la birleştirmiş gibi. Kaynaktaki cümle ('لأنه لا يستحق هذا الاسم...') hedefin ortasında birebir bulunabiliyor.</t>
  </si>
  <si>
    <t xml:space="preserve">Albani ilk cümleleri ('وسائر المرجئة...') atmış, 'والشافعي مع الصحابة...' sonrasını birebir alıyor. Sondaki içerik de Albani'de daha geniş.</t>
  </si>
  <si>
    <t xml:space="preserve">Kaynak hadisin yarısından kesilmiş ('قالها لذهب عنه...'); Albani hadisin tam başlangıcını ('وفي الصحيحين عن النبي...') ekleyip devamını birebir alıyor.</t>
  </si>
  <si>
    <t xml:space="preserve">Albani Şâfiî'nin kaynağını (Atâ'dan rivayet) ek bir önsözle eklemiş; sonrasında 'وقال الشافعي رضي الله عنه في كتاب الأم...' kısmı birebir aynı.</t>
  </si>
  <si>
    <t xml:space="preserve">Kaynaktaki başlangıç bölümü (Halal nakli, ölüm hadisleri) hedefte yok; Albani kaynaktaki Ahmad-yaşlı diyaloğundan ('قال: ودخل عليه شيخ...') başlıyor.</t>
  </si>
  <si>
    <t xml:space="preserve">EXACT</t>
  </si>
  <si>
    <t xml:space="preserve">Birebir aynı pasaj. Albani sadece editöryel referansları ([آل عمران: 103]) ve noktalama eklemiş — metin akışı hiç değişmemiş.</t>
  </si>
  <si>
    <t xml:space="preserve">OVERLAP</t>
  </si>
  <si>
    <t xml:space="preserve">Kaynak münafık/mü'min/küfür tanımları; hedef Hz. Peygamber'in şefaat duası ve cennet/cehennem dereceleri. Aynı geniş konu (iman-amel-küfür) ama tamamen farklı argümanlar.</t>
  </si>
  <si>
    <t xml:space="preserve">Birebir aynı pasaj. 'وهكذا كثير من الفلاسفة...' başlangıcından itibaren tüm metin aynı; Albani sadece [التوحيد] gibi bracket'lar eklemiş.</t>
  </si>
  <si>
    <t xml:space="preserve">Kaynak kalp katılığı + namaz; hedef Ammâr'ın namaz hadisi + haşyet. Ortak konu (namaz, iman, kalp) ama farklı pasajlar.</t>
  </si>
  <si>
    <t xml:space="preserve">Kaynak 'sekizinci yön: cahil mü'min'in tasdiki'; hedef 'Allah'ın kalplerine iman girmediği topluluk' tartışması. Aynı tema (iman seviyeleri) ama farklı argümanlar.</t>
  </si>
  <si>
    <t xml:space="preserve">İkisi de İslâm-İmân ayrımı tartışıyor; kaynak Ahmad'ın hadis yorumu, hedef Beyhakî/Eş'arî nakli. Farklı pasajlar.</t>
  </si>
  <si>
    <t xml:space="preserve">Kaynak küfür/nesep hadisleri; hedef fısk-iman ilişkisi. Yakın konu ama farklı argümanlar.</t>
  </si>
  <si>
    <t xml:space="preserve">Kaynak Ebû Tâlib el-Mekkî'nin imanın 7 erkânı; hedef İslâm-İmân tanım tartışması (Ebâdiyye/Mürcie). Farklı pasajlar.</t>
  </si>
  <si>
    <t xml:space="preserve">Kaynak 'kemâl-i vâcip vs müstahab' tartışması; hedef Yahudi/Hristiyan/Sâbiî mü'minler. Aynı geniş konu (iman tanımı) ama farklı argümanlar.</t>
  </si>
  <si>
    <t xml:space="preserve">Kaynak hadisten İslâm-İmân-Hicret-Cihâd hiyerarşisi; hedef ihlasla amelin sevabı. Bağlantılı ama farklı pasajlar.</t>
  </si>
  <si>
    <t xml:space="preserve">Kaynak 'kefarû ba'de imânihim' yorumu; hedef 'kefarû ba'de İslâmihim' yorumu (Tevbe 73-74). Yan yana ayetler, ardışık argümanlar — ama aynı pasaj değil.</t>
  </si>
  <si>
    <t xml:space="preserve">Kaynak Zühri'nin Sa'd hadisi yorumu, Ahmad'ın 'tevil' anlayışı; hedef Ahmad'a sorulan iman soruları (Salih b. Ahmad). Ortak kaynak (Ahmad) farklı pasajlar.</t>
  </si>
  <si>
    <t xml:space="preserve">Kaynak Yahudilerin Hz. Peygamber'i tanıması + 'akıl' lafzı; hedef korku-fıtrat tartışması. Ortak tema (ilim-amel) ama farklı argümanlar.</t>
  </si>
  <si>
    <t xml:space="preserve">ÖNEMLİ — düşük skora rağmen GERÇEK paralel. Hedefin ilk cümlesi ('فتلك الشفاعة هي لأهل الإخلاص...') kaynağın yarıda kesilen sonuyla birebir aynı; argüman akışı kesintisiz devam ediyor. Albani kaynağın passage sınırını yeniden çizmiş, kaynak (152 kelime) çok kısa kaldığı için skor düşmüş. Threshold kalibrasyonu için değerli false-negative örneği.</t>
  </si>
  <si>
    <t xml:space="preserve">Kaynak müşrik Arapların yaratıcılığı kabul etmesi (yorum); hedef aynı konuda ayet listesi. Yüksek Kur'ân yoğunluğu (kaynak %58, hedef %53) — ortak ayet değil ortak metin gerek.</t>
  </si>
  <si>
    <t xml:space="preserve">Kaynak 'tasdik' lafzının Arapça dilsel kullanımı; hedef Kur'ân'ın Arapça oluşu. Yakın akrabalar (Arapça lafzı) ama farklı tezler.</t>
  </si>
  <si>
    <t xml:space="preserve">Kaynak Halid b. Ma'dân'dan İslâm hadisi; hedef Ubeyd b. Umeyr'den İslâm-İmân hadisi. İki ayrı hadis, aynı tematik alan.</t>
  </si>
  <si>
    <t xml:space="preserve">Kaynak taklid/şirk-i asgar tartışması; hedef ahbâr-rahbân rabb edinme (Tevbe 31). İkisi de tevhid konusunda ama farklı argümanlar.</t>
  </si>
  <si>
    <t xml:space="preserve">İkisi de Ahmad'dan nakil (iman/İslâm farkı); kaynak şehâdeteyn-namaz-zekât küfür rivayetleri, hedef 'أعتقها فإنها مؤمنة' hadisi ve Hammâd b. Zeyd ayrımı. Yakın ama farklı pasajlar — algoritma kelime ortaklığını (Ahmad, iman, İslâm) yakalamış.</t>
  </si>
  <si>
    <t xml:space="preserve">📊 İlerleme ve Sınıf Dağılımı</t>
  </si>
  <si>
    <t xml:space="preserve">Toplam pair:</t>
  </si>
  <si>
    <t xml:space="preserve">Etiketlenen:</t>
  </si>
  <si>
    <t xml:space="preserve">Kalan:</t>
  </si>
  <si>
    <t xml:space="preserve">İlerleme:</t>
  </si>
  <si>
    <t xml:space="preserve">🏷️ Sınıf dağılımı</t>
  </si>
  <si>
    <t xml:space="preserve">Etiket</t>
  </si>
  <si>
    <t xml:space="preserve">Sayı</t>
  </si>
  <si>
    <t xml:space="preserve">Oran</t>
  </si>
  <si>
    <t xml:space="preserve">EXCERPT</t>
  </si>
  <si>
    <t xml:space="preserve">NOISE</t>
  </si>
  <si>
    <t xml:space="preserve">📐 Bant × Etiket çapraz tablosu</t>
  </si>
  <si>
    <t xml:space="preserve">Çok yüksek</t>
  </si>
  <si>
    <t xml:space="preserve">Yüksek</t>
  </si>
  <si>
    <t xml:space="preserve">Orta-yüksek</t>
  </si>
  <si>
    <t xml:space="preserve">Orta</t>
  </si>
  <si>
    <t xml:space="preserve">Düşük</t>
  </si>
  <si>
    <t xml:space="preserve">💡 Atölye Sonu</t>
  </si>
  <si>
    <t xml:space="preserve">Ali, atölye sonu bu xlsx'i Claude'a gönderecek. Cohen κ (Hüseyin Hoca ↔ Claude baseline) hesaplanacak. Tartışmalı pair'ler (Notlar'da TARTIŞMA yazılı olanlar) Hüseyin Hoca + Ali ortak oturumda tahkim edilecek.</t>
  </si>
</sst>
</file>

<file path=xl/styles.xml><?xml version="1.0" encoding="utf-8"?>
<styleSheet xmlns="http://schemas.openxmlformats.org/spreadsheetml/2006/main">
  <numFmts count="3">
    <numFmt numFmtId="164" formatCode="General"/>
    <numFmt numFmtId="165" formatCode="0.0%"/>
    <numFmt numFmtId="166"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2C3E50"/>
      <name val="Arial"/>
      <family val="0"/>
      <charset val="1"/>
    </font>
    <font>
      <i val="true"/>
      <sz val="11"/>
      <color rgb="FF555555"/>
      <name val="Arial"/>
      <family val="0"/>
      <charset val="1"/>
    </font>
    <font>
      <b val="true"/>
      <sz val="13"/>
      <color rgb="FF34495E"/>
      <name val="Arial"/>
      <family val="0"/>
      <charset val="1"/>
    </font>
    <font>
      <sz val="11"/>
      <name val="Arial"/>
      <family val="0"/>
      <charset val="1"/>
    </font>
    <font>
      <b val="true"/>
      <sz val="11"/>
      <color rgb="FFFFFFFF"/>
      <name val="Arial"/>
      <family val="0"/>
      <charset val="1"/>
    </font>
    <font>
      <sz val="10"/>
      <name val="Arial"/>
      <family val="0"/>
      <charset val="1"/>
    </font>
    <font>
      <sz val="12"/>
      <name val="Times New Roman"/>
      <family val="0"/>
      <charset val="1"/>
    </font>
    <font>
      <i val="true"/>
      <sz val="10"/>
      <color rgb="FF6A1B9A"/>
      <name val="Arial"/>
      <family val="0"/>
      <charset val="1"/>
    </font>
    <font>
      <b val="true"/>
      <sz val="14"/>
      <color rgb="FF2C3E50"/>
      <name val="Arial"/>
      <family val="0"/>
      <charset val="1"/>
    </font>
    <font>
      <b val="true"/>
      <sz val="11"/>
      <name val="Arial"/>
      <family val="0"/>
      <charset val="1"/>
    </font>
    <font>
      <b val="true"/>
      <sz val="12"/>
      <color rgb="FF2C3E50"/>
      <name val="Arial"/>
      <family val="0"/>
      <charset val="1"/>
    </font>
    <font>
      <i val="true"/>
      <sz val="10"/>
      <color rgb="FF555555"/>
      <name val="Arial"/>
      <family val="0"/>
      <charset val="1"/>
    </font>
  </fonts>
  <fills count="16">
    <fill>
      <patternFill patternType="none"/>
    </fill>
    <fill>
      <patternFill patternType="gray125"/>
    </fill>
    <fill>
      <patternFill patternType="solid">
        <fgColor rgb="FFECF0F1"/>
        <bgColor rgb="FFF3E5F5"/>
      </patternFill>
    </fill>
    <fill>
      <patternFill patternType="solid">
        <fgColor rgb="FF2C3E50"/>
        <bgColor rgb="FF34495E"/>
      </patternFill>
    </fill>
    <fill>
      <patternFill patternType="solid">
        <fgColor rgb="FFC8E6C9"/>
        <bgColor rgb="FFDCEDC8"/>
      </patternFill>
    </fill>
    <fill>
      <patternFill patternType="solid">
        <fgColor rgb="FFDCEDC8"/>
        <bgColor rgb="FFC8E6C9"/>
      </patternFill>
    </fill>
    <fill>
      <patternFill patternType="solid">
        <fgColor rgb="FFFFF9C4"/>
        <bgColor rgb="FFECF0F1"/>
      </patternFill>
    </fill>
    <fill>
      <patternFill patternType="solid">
        <fgColor rgb="FFFFE0B2"/>
        <bgColor rgb="FFFFCCBC"/>
      </patternFill>
    </fill>
    <fill>
      <patternFill patternType="solid">
        <fgColor rgb="FFFFCCBC"/>
        <bgColor rgb="FFFFE0B2"/>
      </patternFill>
    </fill>
    <fill>
      <patternFill patternType="solid">
        <fgColor rgb="FF6A1B9A"/>
        <bgColor rgb="FF800080"/>
      </patternFill>
    </fill>
    <fill>
      <patternFill patternType="solid">
        <fgColor rgb="FFF3E5F5"/>
        <bgColor rgb="FFECF0F1"/>
      </patternFill>
    </fill>
    <fill>
      <patternFill patternType="solid">
        <fgColor rgb="FF8BC34A"/>
        <bgColor rgb="FF4CAF50"/>
      </patternFill>
    </fill>
    <fill>
      <patternFill patternType="solid">
        <fgColor rgb="FF4CAF50"/>
        <bgColor rgb="FF8BC34A"/>
      </patternFill>
    </fill>
    <fill>
      <patternFill patternType="solid">
        <fgColor rgb="FFFF9800"/>
        <bgColor rgb="FFFFCC00"/>
      </patternFill>
    </fill>
    <fill>
      <patternFill patternType="solid">
        <fgColor rgb="FF03A9F4"/>
        <bgColor rgb="FF33CCCC"/>
      </patternFill>
    </fill>
    <fill>
      <patternFill patternType="solid">
        <fgColor rgb="FFF44336"/>
        <bgColor rgb="FFFF8080"/>
      </patternFill>
    </fill>
  </fills>
  <borders count="2">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right" vertical="top" textRotation="0" wrapText="true" indent="0" shrinkToFit="false" readingOrder="2"/>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11" fillId="10" borderId="0" xfId="0" applyFont="true" applyBorder="true" applyAlignment="true" applyProtection="false">
      <alignment horizontal="general"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8" fillId="12" borderId="0" xfId="0" applyFont="true" applyBorder="false" applyAlignment="true" applyProtection="false">
      <alignment horizontal="center" vertical="center" textRotation="0" wrapText="true" indent="0" shrinkToFit="false"/>
      <protection locked="true" hidden="false"/>
    </xf>
    <xf numFmtId="166" fontId="0" fillId="0" borderId="0" xfId="0" applyFont="false" applyBorder="false" applyAlignment="true" applyProtection="false">
      <alignment horizontal="center" vertical="center" textRotation="0" wrapText="true" indent="0" shrinkToFit="false"/>
      <protection locked="true" hidden="false"/>
    </xf>
    <xf numFmtId="165" fontId="0" fillId="0" borderId="0" xfId="0" applyFont="false" applyBorder="false" applyAlignment="true" applyProtection="false">
      <alignment horizontal="center" vertical="center" textRotation="0" wrapText="true" indent="0" shrinkToFit="false"/>
      <protection locked="true" hidden="false"/>
    </xf>
    <xf numFmtId="164" fontId="8" fillId="11" borderId="0" xfId="0" applyFont="true" applyBorder="false" applyAlignment="true" applyProtection="false">
      <alignment horizontal="center" vertical="center" textRotation="0" wrapText="true" indent="0" shrinkToFit="false"/>
      <protection locked="true" hidden="false"/>
    </xf>
    <xf numFmtId="164" fontId="8" fillId="14" borderId="0" xfId="0" applyFont="true" applyBorder="false" applyAlignment="true" applyProtection="false">
      <alignment horizontal="center" vertical="center" textRotation="0" wrapText="true" indent="0" shrinkToFit="false"/>
      <protection locked="true" hidden="false"/>
    </xf>
    <xf numFmtId="164" fontId="8" fillId="13" borderId="0" xfId="0" applyFont="true" applyBorder="false" applyAlignment="true" applyProtection="false">
      <alignment horizontal="center" vertical="center" textRotation="0" wrapText="true" indent="0" shrinkToFit="false"/>
      <protection locked="true" hidden="false"/>
    </xf>
    <xf numFmtId="164" fontId="8" fillId="15" borderId="0" xfId="0" applyFont="true" applyBorder="false" applyAlignment="true" applyProtection="false">
      <alignment horizontal="center"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true" indent="0" shrinkToFit="false"/>
      <protection locked="true" hidden="false"/>
    </xf>
    <xf numFmtId="166" fontId="7" fillId="0" borderId="0" xfId="0" applyFont="true" applyBorder="false" applyAlignment="true" applyProtection="false">
      <alignment horizontal="center" vertical="center" textRotation="0" wrapText="true" indent="0" shrinkToFit="false"/>
      <protection locked="true" hidden="false"/>
    </xf>
    <xf numFmtId="164" fontId="13" fillId="5" borderId="0" xfId="0" applyFont="true" applyBorder="false" applyAlignment="true" applyProtection="false">
      <alignment horizontal="center" vertical="center" textRotation="0" wrapText="true" indent="0" shrinkToFit="false"/>
      <protection locked="true" hidden="false"/>
    </xf>
    <xf numFmtId="164" fontId="13" fillId="6" borderId="0" xfId="0" applyFont="true" applyBorder="false" applyAlignment="true" applyProtection="false">
      <alignment horizontal="center" vertical="center" textRotation="0" wrapText="true" indent="0" shrinkToFit="false"/>
      <protection locked="true" hidden="false"/>
    </xf>
    <xf numFmtId="164" fontId="13" fillId="7" borderId="0" xfId="0" applyFont="true" applyBorder="false" applyAlignment="true" applyProtection="false">
      <alignment horizontal="center" vertical="center" textRotation="0" wrapText="true" indent="0" shrinkToFit="false"/>
      <protection locked="true" hidden="false"/>
    </xf>
    <xf numFmtId="164" fontId="13" fillId="8"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4CAF50"/>
        </patternFill>
      </fill>
    </dxf>
    <dxf>
      <font>
        <name val="Arial"/>
        <charset val="1"/>
        <family val="0"/>
        <b val="1"/>
        <color rgb="FFFFFFFF"/>
      </font>
      <fill>
        <patternFill>
          <bgColor rgb="FF8BC34A"/>
        </patternFill>
      </fill>
    </dxf>
    <dxf>
      <font>
        <name val="Arial"/>
        <charset val="1"/>
        <family val="0"/>
        <b val="1"/>
        <color rgb="FFFFFFFF"/>
      </font>
      <fill>
        <patternFill>
          <bgColor rgb="FF03A9F4"/>
        </patternFill>
      </fill>
    </dxf>
    <dxf>
      <font>
        <name val="Arial"/>
        <charset val="1"/>
        <family val="0"/>
        <b val="1"/>
        <color rgb="FFFFFFFF"/>
      </font>
      <fill>
        <patternFill>
          <bgColor rgb="FFFF9800"/>
        </patternFill>
      </fill>
    </dxf>
    <dxf>
      <font>
        <name val="Arial"/>
        <charset val="1"/>
        <family val="0"/>
        <b val="1"/>
        <color rgb="FFFFFFFF"/>
      </font>
      <fill>
        <patternFill>
          <bgColor rgb="FFF4433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A1B9A"/>
      <rgbColor rgb="FF008080"/>
      <rgbColor rgb="FFBDBDBD"/>
      <rgbColor rgb="FF808080"/>
      <rgbColor rgb="FF9999FF"/>
      <rgbColor rgb="FF993366"/>
      <rgbColor rgb="FFFFF9C4"/>
      <rgbColor rgb="FFECF0F1"/>
      <rgbColor rgb="FF660066"/>
      <rgbColor rgb="FFFF8080"/>
      <rgbColor rgb="FF0066CC"/>
      <rgbColor rgb="FFF3E5F5"/>
      <rgbColor rgb="FF000080"/>
      <rgbColor rgb="FFFF00FF"/>
      <rgbColor rgb="FFFFFF00"/>
      <rgbColor rgb="FF00FFFF"/>
      <rgbColor rgb="FF800080"/>
      <rgbColor rgb="FF800000"/>
      <rgbColor rgb="FF008080"/>
      <rgbColor rgb="FF0000FF"/>
      <rgbColor rgb="FF03A9F4"/>
      <rgbColor rgb="FFC8E6C9"/>
      <rgbColor rgb="FFDCEDC8"/>
      <rgbColor rgb="FFFFE0B2"/>
      <rgbColor rgb="FF99CCFF"/>
      <rgbColor rgb="FFFF99CC"/>
      <rgbColor rgb="FFCC99FF"/>
      <rgbColor rgb="FFFFCCBC"/>
      <rgbColor rgb="FF3366FF"/>
      <rgbColor rgb="FF33CCCC"/>
      <rgbColor rgb="FF8BC34A"/>
      <rgbColor rgb="FFFFCC00"/>
      <rgbColor rgb="FFFF9800"/>
      <rgbColor rgb="FFF44336"/>
      <rgbColor rgb="FF555555"/>
      <rgbColor rgb="FF969696"/>
      <rgbColor rgb="FF003366"/>
      <rgbColor rgb="FF4CAF50"/>
      <rgbColor rgb="FF003300"/>
      <rgbColor rgb="FF333300"/>
      <rgbColor rgb="FF993300"/>
      <rgbColor rgb="FF993366"/>
      <rgbColor rgb="FF34495E"/>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35"/>
  </cols>
  <sheetData>
    <row r="1" customFormat="false" ht="31.5" hidden="false" customHeight="true" outlineLevel="0" collapsed="false">
      <c r="A1" s="1" t="s">
        <v>0</v>
      </c>
      <c r="B1" s="1"/>
      <c r="C1" s="1"/>
    </row>
    <row r="2" customFormat="false" ht="36" hidden="false" customHeight="true" outlineLevel="0" collapsed="false">
      <c r="A2" s="2" t="s">
        <v>1</v>
      </c>
      <c r="B2" s="2"/>
      <c r="C2" s="2"/>
    </row>
    <row r="4" customFormat="false" ht="24" hidden="false" customHeight="true" outlineLevel="0" collapsed="false">
      <c r="A4" s="3" t="s">
        <v>2</v>
      </c>
      <c r="B4" s="3"/>
      <c r="C4" s="3"/>
    </row>
    <row r="5" customFormat="false" ht="19.5" hidden="false" customHeight="true" outlineLevel="0" collapsed="false">
      <c r="A5" s="4" t="s">
        <v>3</v>
      </c>
      <c r="B5" s="4"/>
      <c r="C5" s="4"/>
    </row>
    <row r="6" customFormat="false" ht="19.5" hidden="false" customHeight="true" outlineLevel="0" collapsed="false">
      <c r="A6" s="4" t="s">
        <v>4</v>
      </c>
      <c r="B6" s="4"/>
      <c r="C6" s="4"/>
    </row>
    <row r="7" customFormat="false" ht="19.5" hidden="false" customHeight="true" outlineLevel="0" collapsed="false">
      <c r="A7" s="4" t="s">
        <v>5</v>
      </c>
      <c r="B7" s="4"/>
      <c r="C7" s="4"/>
    </row>
    <row r="8" customFormat="false" ht="19.5" hidden="false" customHeight="true" outlineLevel="0" collapsed="false">
      <c r="A8" s="4" t="s">
        <v>6</v>
      </c>
      <c r="B8" s="4"/>
      <c r="C8" s="4"/>
    </row>
    <row r="9" customFormat="false" ht="19.5" hidden="false" customHeight="true" outlineLevel="0" collapsed="false">
      <c r="A9" s="4" t="s">
        <v>7</v>
      </c>
      <c r="B9" s="4"/>
      <c r="C9" s="4"/>
    </row>
    <row r="10" customFormat="false" ht="19.5" hidden="false" customHeight="true" outlineLevel="0" collapsed="false">
      <c r="A10" s="4" t="s">
        <v>8</v>
      </c>
      <c r="B10" s="4"/>
      <c r="C10" s="4"/>
    </row>
    <row r="11" customFormat="false" ht="19.5" hidden="false" customHeight="true" outlineLevel="0" collapsed="false">
      <c r="A11" s="4" t="s">
        <v>9</v>
      </c>
      <c r="B11" s="4"/>
      <c r="C11" s="4"/>
    </row>
    <row r="12" customFormat="false" ht="19.5" hidden="false" customHeight="true" outlineLevel="0" collapsed="false">
      <c r="A12" s="4" t="s">
        <v>10</v>
      </c>
      <c r="B12" s="4"/>
      <c r="C12" s="4"/>
    </row>
    <row r="13" customFormat="false" ht="19.5" hidden="false" customHeight="true" outlineLevel="0" collapsed="false">
      <c r="A13" s="4" t="s">
        <v>11</v>
      </c>
      <c r="B13" s="4"/>
      <c r="C13" s="4"/>
    </row>
    <row r="14" customFormat="false" ht="19.5" hidden="false" customHeight="true" outlineLevel="0" collapsed="false">
      <c r="A14" s="4" t="s">
        <v>12</v>
      </c>
      <c r="B14" s="4"/>
      <c r="C14" s="4"/>
    </row>
    <row r="15" customFormat="false" ht="36" hidden="false" customHeight="true" outlineLevel="0" collapsed="false">
      <c r="A15" s="4" t="s">
        <v>13</v>
      </c>
      <c r="B15" s="4"/>
      <c r="C15" s="4"/>
    </row>
    <row r="17" customFormat="false" ht="24" hidden="false" customHeight="true" outlineLevel="0" collapsed="false">
      <c r="A17" s="3" t="s">
        <v>14</v>
      </c>
      <c r="B17" s="3"/>
      <c r="C17" s="3"/>
    </row>
    <row r="18" customFormat="false" ht="36" hidden="false" customHeight="true" outlineLevel="0" collapsed="false">
      <c r="A18" s="4" t="s">
        <v>15</v>
      </c>
      <c r="B18" s="4"/>
      <c r="C18" s="4"/>
    </row>
    <row r="19" customFormat="false" ht="19.5" hidden="false" customHeight="true" outlineLevel="0" collapsed="false">
      <c r="A19" s="4"/>
      <c r="B19" s="4"/>
      <c r="C19" s="4"/>
    </row>
    <row r="20" customFormat="false" ht="36" hidden="false" customHeight="true" outlineLevel="0" collapsed="false">
      <c r="A20" s="4" t="s">
        <v>16</v>
      </c>
      <c r="B20" s="4"/>
      <c r="C20" s="4"/>
    </row>
    <row r="21" customFormat="false" ht="19.5" hidden="false" customHeight="true" outlineLevel="0" collapsed="false">
      <c r="A21" s="4"/>
      <c r="B21" s="4"/>
      <c r="C21" s="4"/>
    </row>
    <row r="22" customFormat="false" ht="36" hidden="false" customHeight="true" outlineLevel="0" collapsed="false">
      <c r="A22" s="4" t="s">
        <v>17</v>
      </c>
      <c r="B22" s="4"/>
      <c r="C22" s="4"/>
    </row>
    <row r="23" customFormat="false" ht="19.5" hidden="false" customHeight="true" outlineLevel="0" collapsed="false">
      <c r="A23" s="4"/>
      <c r="B23" s="4"/>
      <c r="C23" s="4"/>
    </row>
    <row r="24" customFormat="false" ht="54" hidden="false" customHeight="true" outlineLevel="0" collapsed="false">
      <c r="A24" s="4" t="s">
        <v>18</v>
      </c>
      <c r="B24" s="4"/>
      <c r="C24" s="4"/>
    </row>
    <row r="25" customFormat="false" ht="19.5" hidden="false" customHeight="true" outlineLevel="0" collapsed="false">
      <c r="A25" s="4"/>
      <c r="B25" s="4"/>
      <c r="C25" s="4"/>
    </row>
    <row r="26" customFormat="false" ht="19.5" hidden="false" customHeight="true" outlineLevel="0" collapsed="false">
      <c r="A26" s="4" t="s">
        <v>19</v>
      </c>
      <c r="B26" s="4"/>
      <c r="C26" s="4"/>
    </row>
    <row r="28" customFormat="false" ht="24" hidden="false" customHeight="true" outlineLevel="0" collapsed="false">
      <c r="A28" s="3" t="s">
        <v>20</v>
      </c>
      <c r="B28" s="3"/>
      <c r="C28" s="3"/>
    </row>
    <row r="29" customFormat="false" ht="36" hidden="false" customHeight="true" outlineLevel="0" collapsed="false">
      <c r="A29" s="4" t="s">
        <v>21</v>
      </c>
      <c r="B29" s="4"/>
      <c r="C29" s="4"/>
    </row>
    <row r="30" customFormat="false" ht="19.5" hidden="false" customHeight="true" outlineLevel="0" collapsed="false">
      <c r="A30" s="4"/>
      <c r="B30" s="4"/>
      <c r="C30" s="4"/>
    </row>
    <row r="31" customFormat="false" ht="36" hidden="false" customHeight="true" outlineLevel="0" collapsed="false">
      <c r="A31" s="4" t="s">
        <v>22</v>
      </c>
      <c r="B31" s="4"/>
      <c r="C31" s="4"/>
    </row>
    <row r="32" customFormat="false" ht="19.5" hidden="false" customHeight="true" outlineLevel="0" collapsed="false">
      <c r="A32" s="4"/>
      <c r="B32" s="4"/>
      <c r="C32" s="4"/>
    </row>
    <row r="33" customFormat="false" ht="36" hidden="false" customHeight="true" outlineLevel="0" collapsed="false">
      <c r="A33" s="4" t="s">
        <v>23</v>
      </c>
      <c r="B33" s="4"/>
      <c r="C33" s="4"/>
    </row>
    <row r="34" customFormat="false" ht="19.5" hidden="false" customHeight="true" outlineLevel="0" collapsed="false">
      <c r="A34" s="4"/>
      <c r="B34" s="4"/>
      <c r="C34" s="4"/>
    </row>
    <row r="35" customFormat="false" ht="36" hidden="false" customHeight="true" outlineLevel="0" collapsed="false">
      <c r="A35" s="4" t="s">
        <v>24</v>
      </c>
      <c r="B35" s="4"/>
      <c r="C35" s="4"/>
    </row>
    <row r="36" customFormat="false" ht="19.5" hidden="false" customHeight="true" outlineLevel="0" collapsed="false">
      <c r="A36" s="4"/>
      <c r="B36" s="4"/>
      <c r="C36" s="4"/>
    </row>
    <row r="37" customFormat="false" ht="36" hidden="false" customHeight="true" outlineLevel="0" collapsed="false">
      <c r="A37" s="4" t="s">
        <v>25</v>
      </c>
      <c r="B37" s="4"/>
      <c r="C37" s="4"/>
    </row>
    <row r="39" customFormat="false" ht="24" hidden="false" customHeight="true" outlineLevel="0" collapsed="false">
      <c r="A39" s="3" t="s">
        <v>26</v>
      </c>
      <c r="B39" s="3"/>
      <c r="C39" s="3"/>
    </row>
    <row r="40" customFormat="false" ht="36" hidden="false" customHeight="true" outlineLevel="0" collapsed="false">
      <c r="A40" s="4" t="s">
        <v>27</v>
      </c>
      <c r="B40" s="4"/>
      <c r="C40" s="4"/>
    </row>
    <row r="41" customFormat="false" ht="19.5" hidden="false" customHeight="true" outlineLevel="0" collapsed="false">
      <c r="A41" s="4"/>
      <c r="B41" s="4"/>
      <c r="C41" s="4"/>
    </row>
    <row r="42" customFormat="false" ht="36" hidden="false" customHeight="true" outlineLevel="0" collapsed="false">
      <c r="A42" s="4" t="s">
        <v>28</v>
      </c>
      <c r="B42" s="4"/>
      <c r="C42" s="4"/>
    </row>
    <row r="43" customFormat="false" ht="19.5" hidden="false" customHeight="true" outlineLevel="0" collapsed="false">
      <c r="A43" s="4"/>
      <c r="B43" s="4"/>
      <c r="C43" s="4"/>
    </row>
    <row r="44" customFormat="false" ht="36" hidden="false" customHeight="true" outlineLevel="0" collapsed="false">
      <c r="A44" s="4" t="s">
        <v>29</v>
      </c>
      <c r="B44" s="4"/>
      <c r="C44" s="4"/>
    </row>
    <row r="45" customFormat="false" ht="19.5" hidden="false" customHeight="true" outlineLevel="0" collapsed="false">
      <c r="A45" s="4"/>
      <c r="B45" s="4"/>
      <c r="C45" s="4"/>
    </row>
    <row r="46" customFormat="false" ht="36" hidden="false" customHeight="true" outlineLevel="0" collapsed="false">
      <c r="A46" s="4" t="s">
        <v>30</v>
      </c>
      <c r="B46" s="4"/>
      <c r="C46" s="4"/>
    </row>
    <row r="47" customFormat="false" ht="19.5" hidden="false" customHeight="true" outlineLevel="0" collapsed="false">
      <c r="A47" s="4"/>
      <c r="B47" s="4"/>
      <c r="C47" s="4"/>
    </row>
    <row r="48" customFormat="false" ht="54" hidden="false" customHeight="true" outlineLevel="0" collapsed="false">
      <c r="A48" s="4" t="s">
        <v>31</v>
      </c>
      <c r="B48" s="4"/>
      <c r="C48" s="4"/>
    </row>
    <row r="50" customFormat="false" ht="24" hidden="false" customHeight="true" outlineLevel="0" collapsed="false">
      <c r="A50" s="3" t="s">
        <v>32</v>
      </c>
      <c r="B50" s="3"/>
      <c r="C50" s="3"/>
    </row>
    <row r="51" customFormat="false" ht="36" hidden="false" customHeight="true" outlineLevel="0" collapsed="false">
      <c r="A51" s="4" t="s">
        <v>33</v>
      </c>
      <c r="B51" s="4"/>
      <c r="C51" s="4"/>
    </row>
    <row r="52" customFormat="false" ht="19.5" hidden="false" customHeight="true" outlineLevel="0" collapsed="false">
      <c r="A52" s="4"/>
      <c r="B52" s="4"/>
      <c r="C52" s="4"/>
    </row>
    <row r="53" customFormat="false" ht="36" hidden="false" customHeight="true" outlineLevel="0" collapsed="false">
      <c r="A53" s="4" t="s">
        <v>34</v>
      </c>
      <c r="B53" s="4"/>
      <c r="C53" s="4"/>
    </row>
    <row r="54" customFormat="false" ht="19.5" hidden="false" customHeight="true" outlineLevel="0" collapsed="false">
      <c r="A54" s="4"/>
      <c r="B54" s="4"/>
      <c r="C54" s="4"/>
    </row>
    <row r="55" customFormat="false" ht="19.5" hidden="false" customHeight="true" outlineLevel="0" collapsed="false">
      <c r="A55" s="4" t="s">
        <v>35</v>
      </c>
      <c r="B55" s="4"/>
      <c r="C55" s="4"/>
    </row>
    <row r="56" customFormat="false" ht="19.5" hidden="false" customHeight="true" outlineLevel="0" collapsed="false">
      <c r="A56" s="4" t="s">
        <v>36</v>
      </c>
      <c r="B56" s="4"/>
      <c r="C56" s="4"/>
    </row>
    <row r="57" customFormat="false" ht="19.5" hidden="false" customHeight="true" outlineLevel="0" collapsed="false">
      <c r="A57" s="4" t="s">
        <v>37</v>
      </c>
      <c r="B57" s="4"/>
      <c r="C57" s="4"/>
    </row>
    <row r="58" customFormat="false" ht="19.5" hidden="false" customHeight="true" outlineLevel="0" collapsed="false">
      <c r="A58" s="4"/>
      <c r="B58" s="4"/>
      <c r="C58" s="4"/>
    </row>
    <row r="59" customFormat="false" ht="36" hidden="false" customHeight="true" outlineLevel="0" collapsed="false">
      <c r="A59" s="4" t="s">
        <v>38</v>
      </c>
      <c r="B59" s="4"/>
      <c r="C59" s="4"/>
    </row>
  </sheetData>
  <mergeCells count="54">
    <mergeCell ref="A1:C1"/>
    <mergeCell ref="A2:C2"/>
    <mergeCell ref="A4:C4"/>
    <mergeCell ref="A5:C5"/>
    <mergeCell ref="A6:C6"/>
    <mergeCell ref="A7:C7"/>
    <mergeCell ref="A8:C8"/>
    <mergeCell ref="A9:C9"/>
    <mergeCell ref="A10:C10"/>
    <mergeCell ref="A11:C11"/>
    <mergeCell ref="A12:C12"/>
    <mergeCell ref="A13:C13"/>
    <mergeCell ref="A14:C14"/>
    <mergeCell ref="A15:C15"/>
    <mergeCell ref="A17:C17"/>
    <mergeCell ref="A18:C18"/>
    <mergeCell ref="A19:C19"/>
    <mergeCell ref="A20:C20"/>
    <mergeCell ref="A21:C21"/>
    <mergeCell ref="A22:C22"/>
    <mergeCell ref="A23:C23"/>
    <mergeCell ref="A24:C24"/>
    <mergeCell ref="A25:C25"/>
    <mergeCell ref="A26:C26"/>
    <mergeCell ref="A28:C28"/>
    <mergeCell ref="A29:C29"/>
    <mergeCell ref="A30:C30"/>
    <mergeCell ref="A31:C31"/>
    <mergeCell ref="A32:C32"/>
    <mergeCell ref="A33:C33"/>
    <mergeCell ref="A34:C34"/>
    <mergeCell ref="A35:C35"/>
    <mergeCell ref="A36:C36"/>
    <mergeCell ref="A37:C37"/>
    <mergeCell ref="A39:C39"/>
    <mergeCell ref="A40:C40"/>
    <mergeCell ref="A41:C41"/>
    <mergeCell ref="A42:C42"/>
    <mergeCell ref="A43:C43"/>
    <mergeCell ref="A44:C44"/>
    <mergeCell ref="A45:C45"/>
    <mergeCell ref="A46:C46"/>
    <mergeCell ref="A47:C47"/>
    <mergeCell ref="A48:C48"/>
    <mergeCell ref="A50:C50"/>
    <mergeCell ref="A51:C51"/>
    <mergeCell ref="A52:C52"/>
    <mergeCell ref="A53:C53"/>
    <mergeCell ref="A54:C54"/>
    <mergeCell ref="A55:C55"/>
    <mergeCell ref="A56:C56"/>
    <mergeCell ref="A57:C57"/>
    <mergeCell ref="A58:C58"/>
    <mergeCell ref="A59:C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18"/>
    <col collapsed="false" customWidth="true" hidden="false" outlineLevel="0" max="4" min="4" style="0" width="16"/>
    <col collapsed="false" customWidth="true" hidden="false" outlineLevel="0" max="5" min="5" style="0" width="7"/>
    <col collapsed="false" customWidth="true" hidden="false" outlineLevel="0" max="6" min="6" style="0" width="9"/>
    <col collapsed="false" customWidth="true" hidden="false" outlineLevel="0" max="8" min="7" style="0" width="7"/>
    <col collapsed="false" customWidth="true" hidden="false" outlineLevel="0" max="9" min="9" style="0" width="14"/>
    <col collapsed="false" customWidth="true" hidden="false" outlineLevel="0" max="11" min="10" style="0" width="65"/>
    <col collapsed="false" customWidth="true" hidden="false" outlineLevel="0" max="12" min="12" style="0" width="12"/>
    <col collapsed="false" customWidth="true" hidden="false" outlineLevel="0" max="13" min="13" style="0" width="35"/>
  </cols>
  <sheetData>
    <row r="1" customFormat="false" ht="36" hidden="false" customHeight="true" outlineLevel="0" collapsed="false">
      <c r="A1" s="5" t="s">
        <v>39</v>
      </c>
      <c r="B1" s="5" t="s">
        <v>40</v>
      </c>
      <c r="C1" s="5" t="s">
        <v>41</v>
      </c>
      <c r="D1" s="5" t="s">
        <v>42</v>
      </c>
      <c r="E1" s="5" t="s">
        <v>43</v>
      </c>
      <c r="F1" s="5" t="s">
        <v>44</v>
      </c>
      <c r="G1" s="5" t="s">
        <v>45</v>
      </c>
      <c r="H1" s="5" t="s">
        <v>46</v>
      </c>
      <c r="I1" s="5" t="s">
        <v>47</v>
      </c>
      <c r="J1" s="5" t="s">
        <v>48</v>
      </c>
      <c r="K1" s="5" t="s">
        <v>49</v>
      </c>
      <c r="L1" s="5" t="s">
        <v>50</v>
      </c>
      <c r="M1" s="5" t="s">
        <v>51</v>
      </c>
    </row>
    <row r="2" customFormat="false" ht="279.75" hidden="false" customHeight="true" outlineLevel="0" collapsed="false">
      <c r="A2" s="6" t="n">
        <v>1</v>
      </c>
      <c r="B2" s="7" t="s">
        <v>52</v>
      </c>
      <c r="C2" s="6" t="s">
        <v>53</v>
      </c>
      <c r="D2" s="6" t="s">
        <v>54</v>
      </c>
      <c r="E2" s="6" t="n">
        <v>0.958</v>
      </c>
      <c r="F2" s="6" t="n">
        <v>0.94</v>
      </c>
      <c r="G2" s="6" t="n">
        <v>0.02</v>
      </c>
      <c r="H2" s="6" t="n">
        <v>0.01</v>
      </c>
      <c r="I2" s="6" t="s">
        <v>55</v>
      </c>
      <c r="J2" s="8" t="s">
        <v>56</v>
      </c>
      <c r="K2" s="8" t="s">
        <v>57</v>
      </c>
      <c r="L2" s="6"/>
      <c r="M2" s="9"/>
    </row>
    <row r="3" customFormat="false" ht="279.75" hidden="false" customHeight="true" outlineLevel="0" collapsed="false">
      <c r="A3" s="6" t="n">
        <v>2</v>
      </c>
      <c r="B3" s="7" t="s">
        <v>52</v>
      </c>
      <c r="C3" s="6" t="s">
        <v>58</v>
      </c>
      <c r="D3" s="6" t="s">
        <v>59</v>
      </c>
      <c r="E3" s="6" t="n">
        <v>0.973</v>
      </c>
      <c r="F3" s="6" t="n">
        <v>0.915</v>
      </c>
      <c r="G3" s="6" t="n">
        <v>0.06</v>
      </c>
      <c r="H3" s="6" t="n">
        <v>0.06</v>
      </c>
      <c r="I3" s="6" t="s">
        <v>60</v>
      </c>
      <c r="J3" s="8" t="s">
        <v>61</v>
      </c>
      <c r="K3" s="8" t="s">
        <v>62</v>
      </c>
      <c r="L3" s="6"/>
      <c r="M3" s="9"/>
    </row>
    <row r="4" customFormat="false" ht="279.75" hidden="false" customHeight="true" outlineLevel="0" collapsed="false">
      <c r="A4" s="6" t="n">
        <v>3</v>
      </c>
      <c r="B4" s="7" t="s">
        <v>52</v>
      </c>
      <c r="C4" s="6" t="s">
        <v>63</v>
      </c>
      <c r="D4" s="6" t="s">
        <v>64</v>
      </c>
      <c r="E4" s="6" t="n">
        <v>0.96</v>
      </c>
      <c r="F4" s="6" t="n">
        <v>0.945</v>
      </c>
      <c r="G4" s="6" t="n">
        <v>0.02</v>
      </c>
      <c r="H4" s="6" t="n">
        <v>0</v>
      </c>
      <c r="I4" s="6" t="s">
        <v>60</v>
      </c>
      <c r="J4" s="8" t="s">
        <v>65</v>
      </c>
      <c r="K4" s="8" t="s">
        <v>66</v>
      </c>
      <c r="L4" s="6"/>
      <c r="M4" s="9"/>
    </row>
    <row r="5" customFormat="false" ht="279.75" hidden="false" customHeight="true" outlineLevel="0" collapsed="false">
      <c r="A5" s="6" t="n">
        <v>4</v>
      </c>
      <c r="B5" s="7" t="s">
        <v>52</v>
      </c>
      <c r="C5" s="6" t="s">
        <v>67</v>
      </c>
      <c r="D5" s="6" t="s">
        <v>68</v>
      </c>
      <c r="E5" s="6" t="n">
        <v>0.964</v>
      </c>
      <c r="F5" s="6" t="n">
        <v>0.964</v>
      </c>
      <c r="G5" s="6" t="n">
        <v>0</v>
      </c>
      <c r="H5" s="6" t="n">
        <v>0</v>
      </c>
      <c r="I5" s="6" t="s">
        <v>55</v>
      </c>
      <c r="J5" s="8" t="s">
        <v>69</v>
      </c>
      <c r="K5" s="8" t="s">
        <v>70</v>
      </c>
      <c r="L5" s="6"/>
      <c r="M5" s="9"/>
    </row>
    <row r="6" customFormat="false" ht="279.75" hidden="false" customHeight="true" outlineLevel="0" collapsed="false">
      <c r="A6" s="6" t="n">
        <v>5</v>
      </c>
      <c r="B6" s="7" t="s">
        <v>52</v>
      </c>
      <c r="C6" s="6" t="s">
        <v>71</v>
      </c>
      <c r="D6" s="6" t="s">
        <v>72</v>
      </c>
      <c r="E6" s="6" t="n">
        <v>0.968</v>
      </c>
      <c r="F6" s="6" t="n">
        <v>0.934</v>
      </c>
      <c r="G6" s="6" t="n">
        <v>0.03</v>
      </c>
      <c r="H6" s="6" t="n">
        <v>0</v>
      </c>
      <c r="I6" s="6" t="s">
        <v>73</v>
      </c>
      <c r="J6" s="8" t="s">
        <v>74</v>
      </c>
      <c r="K6" s="8" t="s">
        <v>75</v>
      </c>
      <c r="L6" s="6"/>
      <c r="M6" s="9"/>
    </row>
    <row r="7" customFormat="false" ht="279.75" hidden="false" customHeight="true" outlineLevel="0" collapsed="false">
      <c r="A7" s="6" t="n">
        <v>6</v>
      </c>
      <c r="B7" s="10" t="s">
        <v>76</v>
      </c>
      <c r="C7" s="6" t="s">
        <v>77</v>
      </c>
      <c r="D7" s="6" t="s">
        <v>78</v>
      </c>
      <c r="E7" s="6" t="n">
        <v>0.911</v>
      </c>
      <c r="F7" s="6" t="n">
        <v>0.732</v>
      </c>
      <c r="G7" s="6" t="n">
        <v>0.2</v>
      </c>
      <c r="H7" s="6" t="n">
        <v>0.12</v>
      </c>
      <c r="I7" s="6" t="s">
        <v>79</v>
      </c>
      <c r="J7" s="8" t="s">
        <v>80</v>
      </c>
      <c r="K7" s="8" t="s">
        <v>81</v>
      </c>
      <c r="L7" s="6"/>
      <c r="M7" s="9"/>
    </row>
    <row r="8" customFormat="false" ht="279.75" hidden="false" customHeight="true" outlineLevel="0" collapsed="false">
      <c r="A8" s="6" t="n">
        <v>7</v>
      </c>
      <c r="B8" s="10" t="s">
        <v>76</v>
      </c>
      <c r="C8" s="6" t="s">
        <v>82</v>
      </c>
      <c r="D8" s="6" t="s">
        <v>83</v>
      </c>
      <c r="E8" s="6" t="n">
        <v>0.912</v>
      </c>
      <c r="F8" s="6" t="n">
        <v>0.774</v>
      </c>
      <c r="G8" s="6" t="n">
        <v>0.15</v>
      </c>
      <c r="H8" s="6" t="n">
        <v>0.03</v>
      </c>
      <c r="I8" s="6" t="s">
        <v>84</v>
      </c>
      <c r="J8" s="8" t="s">
        <v>85</v>
      </c>
      <c r="K8" s="8" t="s">
        <v>86</v>
      </c>
      <c r="L8" s="6"/>
      <c r="M8" s="9"/>
    </row>
    <row r="9" customFormat="false" ht="279.75" hidden="false" customHeight="true" outlineLevel="0" collapsed="false">
      <c r="A9" s="6" t="n">
        <v>8</v>
      </c>
      <c r="B9" s="10" t="s">
        <v>76</v>
      </c>
      <c r="C9" s="6" t="s">
        <v>87</v>
      </c>
      <c r="D9" s="6" t="s">
        <v>88</v>
      </c>
      <c r="E9" s="6" t="n">
        <v>0.926</v>
      </c>
      <c r="F9" s="6" t="n">
        <v>0.728</v>
      </c>
      <c r="G9" s="6" t="n">
        <v>0.21</v>
      </c>
      <c r="H9" s="6" t="n">
        <v>0.14</v>
      </c>
      <c r="I9" s="6" t="s">
        <v>89</v>
      </c>
      <c r="J9" s="8" t="s">
        <v>90</v>
      </c>
      <c r="K9" s="8" t="s">
        <v>91</v>
      </c>
      <c r="L9" s="6"/>
      <c r="M9" s="9"/>
    </row>
    <row r="10" customFormat="false" ht="279.75" hidden="false" customHeight="true" outlineLevel="0" collapsed="false">
      <c r="A10" s="6" t="n">
        <v>9</v>
      </c>
      <c r="B10" s="10" t="s">
        <v>76</v>
      </c>
      <c r="C10" s="6" t="s">
        <v>92</v>
      </c>
      <c r="D10" s="6" t="s">
        <v>93</v>
      </c>
      <c r="E10" s="6" t="n">
        <v>0.824</v>
      </c>
      <c r="F10" s="6" t="n">
        <v>0.764</v>
      </c>
      <c r="G10" s="6" t="n">
        <v>0.07</v>
      </c>
      <c r="H10" s="6" t="n">
        <v>0.01</v>
      </c>
      <c r="I10" s="6" t="s">
        <v>55</v>
      </c>
      <c r="J10" s="8" t="s">
        <v>94</v>
      </c>
      <c r="K10" s="8" t="s">
        <v>95</v>
      </c>
      <c r="L10" s="6"/>
      <c r="M10" s="9"/>
    </row>
    <row r="11" customFormat="false" ht="279.75" hidden="false" customHeight="true" outlineLevel="0" collapsed="false">
      <c r="A11" s="6" t="n">
        <v>10</v>
      </c>
      <c r="B11" s="10" t="s">
        <v>76</v>
      </c>
      <c r="C11" s="6" t="s">
        <v>96</v>
      </c>
      <c r="D11" s="6" t="s">
        <v>97</v>
      </c>
      <c r="E11" s="6" t="n">
        <v>0.93</v>
      </c>
      <c r="F11" s="6" t="n">
        <v>0.902</v>
      </c>
      <c r="G11" s="6" t="n">
        <v>0</v>
      </c>
      <c r="H11" s="6" t="n">
        <v>0.03</v>
      </c>
      <c r="I11" s="6" t="s">
        <v>55</v>
      </c>
      <c r="J11" s="8" t="s">
        <v>98</v>
      </c>
      <c r="K11" s="8" t="s">
        <v>99</v>
      </c>
      <c r="L11" s="6"/>
      <c r="M11" s="9"/>
    </row>
    <row r="12" customFormat="false" ht="279.75" hidden="false" customHeight="true" outlineLevel="0" collapsed="false">
      <c r="A12" s="6" t="n">
        <v>11</v>
      </c>
      <c r="B12" s="11" t="s">
        <v>100</v>
      </c>
      <c r="C12" s="6" t="s">
        <v>101</v>
      </c>
      <c r="D12" s="6" t="s">
        <v>102</v>
      </c>
      <c r="E12" s="6" t="n">
        <v>0.634</v>
      </c>
      <c r="F12" s="6" t="n">
        <v>0.497</v>
      </c>
      <c r="G12" s="6" t="n">
        <v>0.21</v>
      </c>
      <c r="H12" s="6" t="n">
        <v>0.03</v>
      </c>
      <c r="I12" s="6" t="s">
        <v>89</v>
      </c>
      <c r="J12" s="8" t="s">
        <v>103</v>
      </c>
      <c r="K12" s="8" t="s">
        <v>104</v>
      </c>
      <c r="L12" s="6"/>
      <c r="M12" s="9"/>
    </row>
    <row r="13" customFormat="false" ht="279.75" hidden="false" customHeight="true" outlineLevel="0" collapsed="false">
      <c r="A13" s="6" t="n">
        <v>12</v>
      </c>
      <c r="B13" s="11" t="s">
        <v>100</v>
      </c>
      <c r="C13" s="6" t="s">
        <v>105</v>
      </c>
      <c r="D13" s="6" t="s">
        <v>106</v>
      </c>
      <c r="E13" s="6" t="n">
        <v>0.763</v>
      </c>
      <c r="F13" s="6" t="n">
        <v>0.632</v>
      </c>
      <c r="G13" s="6" t="n">
        <v>0.17</v>
      </c>
      <c r="H13" s="6" t="n">
        <v>0.08</v>
      </c>
      <c r="I13" s="6" t="s">
        <v>79</v>
      </c>
      <c r="J13" s="8" t="s">
        <v>107</v>
      </c>
      <c r="K13" s="8" t="s">
        <v>108</v>
      </c>
      <c r="L13" s="6"/>
      <c r="M13" s="9"/>
    </row>
    <row r="14" customFormat="false" ht="279.75" hidden="false" customHeight="true" outlineLevel="0" collapsed="false">
      <c r="A14" s="6" t="n">
        <v>13</v>
      </c>
      <c r="B14" s="11" t="s">
        <v>100</v>
      </c>
      <c r="C14" s="6" t="s">
        <v>109</v>
      </c>
      <c r="D14" s="6" t="s">
        <v>110</v>
      </c>
      <c r="E14" s="6" t="n">
        <v>0.669</v>
      </c>
      <c r="F14" s="6" t="n">
        <v>0.595</v>
      </c>
      <c r="G14" s="6" t="n">
        <v>0.11</v>
      </c>
      <c r="H14" s="6" t="n">
        <v>0.01</v>
      </c>
      <c r="I14" s="6" t="s">
        <v>55</v>
      </c>
      <c r="J14" s="8" t="s">
        <v>111</v>
      </c>
      <c r="K14" s="8" t="s">
        <v>112</v>
      </c>
      <c r="L14" s="6"/>
      <c r="M14" s="9"/>
    </row>
    <row r="15" customFormat="false" ht="279.75" hidden="false" customHeight="true" outlineLevel="0" collapsed="false">
      <c r="A15" s="6" t="n">
        <v>14</v>
      </c>
      <c r="B15" s="11" t="s">
        <v>100</v>
      </c>
      <c r="C15" s="6" t="s">
        <v>113</v>
      </c>
      <c r="D15" s="6" t="s">
        <v>114</v>
      </c>
      <c r="E15" s="6" t="n">
        <v>0.783</v>
      </c>
      <c r="F15" s="6" t="n">
        <v>0.703</v>
      </c>
      <c r="G15" s="6" t="n">
        <v>0.1</v>
      </c>
      <c r="H15" s="6" t="n">
        <v>0.06</v>
      </c>
      <c r="I15" s="6" t="s">
        <v>55</v>
      </c>
      <c r="J15" s="8" t="s">
        <v>115</v>
      </c>
      <c r="K15" s="8" t="s">
        <v>116</v>
      </c>
      <c r="L15" s="6"/>
      <c r="M15" s="9"/>
    </row>
    <row r="16" customFormat="false" ht="279.75" hidden="false" customHeight="true" outlineLevel="0" collapsed="false">
      <c r="A16" s="6" t="n">
        <v>15</v>
      </c>
      <c r="B16" s="11" t="s">
        <v>100</v>
      </c>
      <c r="C16" s="6" t="s">
        <v>117</v>
      </c>
      <c r="D16" s="6" t="s">
        <v>118</v>
      </c>
      <c r="E16" s="6" t="n">
        <v>0.784</v>
      </c>
      <c r="F16" s="6" t="n">
        <v>0.723</v>
      </c>
      <c r="G16" s="6" t="n">
        <v>0.08</v>
      </c>
      <c r="H16" s="6" t="n">
        <v>0.06</v>
      </c>
      <c r="I16" s="6" t="s">
        <v>55</v>
      </c>
      <c r="J16" s="8" t="s">
        <v>119</v>
      </c>
      <c r="K16" s="8" t="s">
        <v>120</v>
      </c>
      <c r="L16" s="6"/>
      <c r="M16" s="9"/>
    </row>
    <row r="17" customFormat="false" ht="279.75" hidden="false" customHeight="true" outlineLevel="0" collapsed="false">
      <c r="A17" s="6" t="n">
        <v>16</v>
      </c>
      <c r="B17" s="11" t="s">
        <v>100</v>
      </c>
      <c r="C17" s="6" t="s">
        <v>121</v>
      </c>
      <c r="D17" s="6" t="s">
        <v>122</v>
      </c>
      <c r="E17" s="6" t="n">
        <v>0.607</v>
      </c>
      <c r="F17" s="6" t="n">
        <v>0.389</v>
      </c>
      <c r="G17" s="6" t="n">
        <v>0.36</v>
      </c>
      <c r="H17" s="6" t="n">
        <v>0.18</v>
      </c>
      <c r="I17" s="6" t="s">
        <v>89</v>
      </c>
      <c r="J17" s="8" t="s">
        <v>123</v>
      </c>
      <c r="K17" s="8" t="s">
        <v>124</v>
      </c>
      <c r="L17" s="6"/>
      <c r="M17" s="9"/>
    </row>
    <row r="18" customFormat="false" ht="279.75" hidden="false" customHeight="true" outlineLevel="0" collapsed="false">
      <c r="A18" s="6" t="n">
        <v>17</v>
      </c>
      <c r="B18" s="11" t="s">
        <v>100</v>
      </c>
      <c r="C18" s="6" t="s">
        <v>125</v>
      </c>
      <c r="D18" s="6" t="s">
        <v>126</v>
      </c>
      <c r="E18" s="6" t="n">
        <v>0.727</v>
      </c>
      <c r="F18" s="6" t="n">
        <v>0.611</v>
      </c>
      <c r="G18" s="6" t="n">
        <v>0.07</v>
      </c>
      <c r="H18" s="6" t="n">
        <v>0.16</v>
      </c>
      <c r="I18" s="6" t="s">
        <v>73</v>
      </c>
      <c r="J18" s="8" t="s">
        <v>127</v>
      </c>
      <c r="K18" s="8" t="s">
        <v>128</v>
      </c>
      <c r="L18" s="6"/>
      <c r="M18" s="9"/>
    </row>
    <row r="19" customFormat="false" ht="279.75" hidden="false" customHeight="true" outlineLevel="0" collapsed="false">
      <c r="A19" s="6" t="n">
        <v>18</v>
      </c>
      <c r="B19" s="11" t="s">
        <v>100</v>
      </c>
      <c r="C19" s="6" t="s">
        <v>129</v>
      </c>
      <c r="D19" s="6" t="s">
        <v>130</v>
      </c>
      <c r="E19" s="6" t="n">
        <v>0.721</v>
      </c>
      <c r="F19" s="6" t="n">
        <v>0.46</v>
      </c>
      <c r="G19" s="6" t="n">
        <v>0.36</v>
      </c>
      <c r="H19" s="6" t="n">
        <v>0.25</v>
      </c>
      <c r="I19" s="6" t="s">
        <v>73</v>
      </c>
      <c r="J19" s="8" t="s">
        <v>131</v>
      </c>
      <c r="K19" s="8" t="s">
        <v>132</v>
      </c>
      <c r="L19" s="6"/>
      <c r="M19" s="9"/>
    </row>
    <row r="20" customFormat="false" ht="279.75" hidden="false" customHeight="true" outlineLevel="0" collapsed="false">
      <c r="A20" s="6" t="n">
        <v>19</v>
      </c>
      <c r="B20" s="11" t="s">
        <v>100</v>
      </c>
      <c r="C20" s="6" t="s">
        <v>133</v>
      </c>
      <c r="D20" s="6" t="s">
        <v>134</v>
      </c>
      <c r="E20" s="6" t="n">
        <v>0.638</v>
      </c>
      <c r="F20" s="6" t="n">
        <v>0.573</v>
      </c>
      <c r="G20" s="6" t="n">
        <v>0.1</v>
      </c>
      <c r="H20" s="6" t="n">
        <v>0</v>
      </c>
      <c r="I20" s="6" t="s">
        <v>55</v>
      </c>
      <c r="J20" s="8" t="s">
        <v>135</v>
      </c>
      <c r="K20" s="8" t="s">
        <v>136</v>
      </c>
      <c r="L20" s="6"/>
      <c r="M20" s="9"/>
    </row>
    <row r="21" customFormat="false" ht="279.75" hidden="false" customHeight="true" outlineLevel="0" collapsed="false">
      <c r="A21" s="6" t="n">
        <v>20</v>
      </c>
      <c r="B21" s="11" t="s">
        <v>100</v>
      </c>
      <c r="C21" s="6" t="s">
        <v>137</v>
      </c>
      <c r="D21" s="6" t="s">
        <v>138</v>
      </c>
      <c r="E21" s="6" t="n">
        <v>0.627</v>
      </c>
      <c r="F21" s="6" t="n">
        <v>0.429</v>
      </c>
      <c r="G21" s="6" t="n">
        <v>0.27</v>
      </c>
      <c r="H21" s="6" t="n">
        <v>0.32</v>
      </c>
      <c r="I21" s="6" t="s">
        <v>89</v>
      </c>
      <c r="J21" s="8" t="s">
        <v>139</v>
      </c>
      <c r="K21" s="8" t="s">
        <v>140</v>
      </c>
      <c r="L21" s="6"/>
      <c r="M21" s="9"/>
    </row>
    <row r="22" customFormat="false" ht="279.75" hidden="false" customHeight="true" outlineLevel="0" collapsed="false">
      <c r="A22" s="6" t="n">
        <v>21</v>
      </c>
      <c r="B22" s="12" t="s">
        <v>141</v>
      </c>
      <c r="C22" s="6" t="s">
        <v>142</v>
      </c>
      <c r="D22" s="6" t="s">
        <v>143</v>
      </c>
      <c r="E22" s="6" t="n">
        <v>0.504</v>
      </c>
      <c r="F22" s="6" t="n">
        <v>0.296</v>
      </c>
      <c r="G22" s="6" t="n">
        <v>0.41</v>
      </c>
      <c r="H22" s="6" t="n">
        <v>0.11</v>
      </c>
      <c r="I22" s="6" t="s">
        <v>89</v>
      </c>
      <c r="J22" s="8" t="s">
        <v>144</v>
      </c>
      <c r="K22" s="8" t="s">
        <v>145</v>
      </c>
      <c r="L22" s="6"/>
      <c r="M22" s="9"/>
    </row>
    <row r="23" customFormat="false" ht="279.75" hidden="false" customHeight="true" outlineLevel="0" collapsed="false">
      <c r="A23" s="6" t="n">
        <v>22</v>
      </c>
      <c r="B23" s="12" t="s">
        <v>141</v>
      </c>
      <c r="C23" s="6" t="s">
        <v>146</v>
      </c>
      <c r="D23" s="6" t="s">
        <v>147</v>
      </c>
      <c r="E23" s="6" t="n">
        <v>0.574</v>
      </c>
      <c r="F23" s="6" t="n">
        <v>0.243</v>
      </c>
      <c r="G23" s="6" t="n">
        <v>0.58</v>
      </c>
      <c r="H23" s="6" t="n">
        <v>0.53</v>
      </c>
      <c r="I23" s="6" t="s">
        <v>89</v>
      </c>
      <c r="J23" s="8" t="s">
        <v>148</v>
      </c>
      <c r="K23" s="8" t="s">
        <v>149</v>
      </c>
      <c r="L23" s="6"/>
      <c r="M23" s="9"/>
    </row>
    <row r="24" customFormat="false" ht="279.75" hidden="false" customHeight="true" outlineLevel="0" collapsed="false">
      <c r="A24" s="6" t="n">
        <v>23</v>
      </c>
      <c r="B24" s="12" t="s">
        <v>141</v>
      </c>
      <c r="C24" s="6" t="s">
        <v>150</v>
      </c>
      <c r="D24" s="6" t="s">
        <v>151</v>
      </c>
      <c r="E24" s="6" t="n">
        <v>0.544</v>
      </c>
      <c r="F24" s="6" t="n">
        <v>0.417</v>
      </c>
      <c r="G24" s="6" t="n">
        <v>0.23</v>
      </c>
      <c r="H24" s="6" t="n">
        <v>0</v>
      </c>
      <c r="I24" s="6" t="s">
        <v>152</v>
      </c>
      <c r="J24" s="8" t="s">
        <v>153</v>
      </c>
      <c r="K24" s="8" t="s">
        <v>154</v>
      </c>
      <c r="L24" s="6"/>
      <c r="M24" s="9"/>
    </row>
    <row r="25" customFormat="false" ht="279.75" hidden="false" customHeight="true" outlineLevel="0" collapsed="false">
      <c r="A25" s="6" t="n">
        <v>24</v>
      </c>
      <c r="B25" s="12" t="s">
        <v>141</v>
      </c>
      <c r="C25" s="6" t="s">
        <v>155</v>
      </c>
      <c r="D25" s="6" t="s">
        <v>156</v>
      </c>
      <c r="E25" s="6" t="n">
        <v>0.536</v>
      </c>
      <c r="F25" s="6" t="n">
        <v>0.286</v>
      </c>
      <c r="G25" s="6" t="n">
        <v>0.47</v>
      </c>
      <c r="H25" s="6" t="n">
        <v>0.05</v>
      </c>
      <c r="I25" s="6" t="s">
        <v>73</v>
      </c>
      <c r="J25" s="8" t="s">
        <v>157</v>
      </c>
      <c r="K25" s="8" t="s">
        <v>158</v>
      </c>
      <c r="L25" s="6"/>
      <c r="M25" s="9"/>
    </row>
    <row r="26" customFormat="false" ht="279.75" hidden="false" customHeight="true" outlineLevel="0" collapsed="false">
      <c r="A26" s="6" t="n">
        <v>25</v>
      </c>
      <c r="B26" s="12" t="s">
        <v>141</v>
      </c>
      <c r="C26" s="6" t="s">
        <v>159</v>
      </c>
      <c r="D26" s="6" t="s">
        <v>160</v>
      </c>
      <c r="E26" s="6" t="n">
        <v>0.561</v>
      </c>
      <c r="F26" s="6" t="n">
        <v>0.371</v>
      </c>
      <c r="G26" s="6" t="n">
        <v>0.34</v>
      </c>
      <c r="H26" s="6" t="n">
        <v>0.13</v>
      </c>
      <c r="I26" s="6" t="s">
        <v>89</v>
      </c>
      <c r="J26" s="8" t="s">
        <v>161</v>
      </c>
      <c r="K26" s="8" t="s">
        <v>162</v>
      </c>
      <c r="L26" s="6"/>
      <c r="M26" s="9"/>
    </row>
    <row r="27" customFormat="false" ht="279.75" hidden="false" customHeight="true" outlineLevel="0" collapsed="false">
      <c r="A27" s="6" t="n">
        <v>26</v>
      </c>
      <c r="B27" s="13" t="s">
        <v>163</v>
      </c>
      <c r="C27" s="6" t="s">
        <v>164</v>
      </c>
      <c r="D27" s="6" t="s">
        <v>165</v>
      </c>
      <c r="E27" s="6" t="n">
        <v>0.395</v>
      </c>
      <c r="F27" s="6" t="n">
        <v>0.395</v>
      </c>
      <c r="G27" s="6" t="n">
        <v>0</v>
      </c>
      <c r="H27" s="6" t="n">
        <v>0</v>
      </c>
      <c r="I27" s="6" t="s">
        <v>79</v>
      </c>
      <c r="J27" s="8" t="s">
        <v>166</v>
      </c>
      <c r="K27" s="8" t="s">
        <v>167</v>
      </c>
      <c r="L27" s="6"/>
      <c r="M27" s="9"/>
    </row>
  </sheetData>
  <conditionalFormatting sqref="L2:L27">
    <cfRule type="cellIs" priority="2" operator="equal" aboveAverage="0" equalAverage="0" bottom="0" percent="0" rank="0" text="" dxfId="0">
      <formula>"EXACT"</formula>
    </cfRule>
    <cfRule type="cellIs" priority="3" operator="equal" aboveAverage="0" equalAverage="0" bottom="0" percent="0" rank="0" text="" dxfId="1">
      <formula>"EDITED"</formula>
    </cfRule>
    <cfRule type="cellIs" priority="4" operator="equal" aboveAverage="0" equalAverage="0" bottom="0" percent="0" rank="0" text="" dxfId="2">
      <formula>"EXCERPT"</formula>
    </cfRule>
    <cfRule type="cellIs" priority="5" operator="equal" aboveAverage="0" equalAverage="0" bottom="0" percent="0" rank="0" text="" dxfId="3">
      <formula>"OVERLAP"</formula>
    </cfRule>
    <cfRule type="cellIs" priority="6" operator="equal" aboveAverage="0" equalAverage="0" bottom="0" percent="0" rank="0" text="" dxfId="4">
      <formula>"NOISE"</formula>
    </cfRule>
  </conditionalFormatting>
  <dataValidations count="1">
    <dataValidation allowBlank="true" error="Sadece 5 sınıftan biri seçilebilir: EXACT/EDITED/EXCERPT/OVERLAP/NOISE" errorStyle="stop" errorTitle="Geçersiz etiket" operator="between" prompt="Açılır listeden bir etiket seçin" promptTitle="Etiket seçimi" showDropDown="false" showErrorMessage="false" showInputMessage="false" sqref="L2:L27" type="list">
      <formula1>"EXACT,EDITED,EXCERPT,OVERLAP,NOISE"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16"/>
    <col collapsed="false" customWidth="true" hidden="false" outlineLevel="0" max="4" min="4" style="0" width="7"/>
    <col collapsed="false" customWidth="true" hidden="false" outlineLevel="0" max="5" min="5" style="0" width="14"/>
    <col collapsed="false" customWidth="true" hidden="false" outlineLevel="0" max="6" min="6" style="0" width="90"/>
  </cols>
  <sheetData>
    <row r="1" customFormat="false" ht="30" hidden="false" customHeight="true" outlineLevel="0" collapsed="false">
      <c r="A1" s="14" t="s">
        <v>39</v>
      </c>
      <c r="B1" s="14" t="s">
        <v>41</v>
      </c>
      <c r="C1" s="14" t="s">
        <v>42</v>
      </c>
      <c r="D1" s="14" t="s">
        <v>43</v>
      </c>
      <c r="E1" s="14" t="s">
        <v>168</v>
      </c>
      <c r="F1" s="14" t="s">
        <v>169</v>
      </c>
    </row>
    <row r="2" customFormat="false" ht="31.5" hidden="false" customHeight="true" outlineLevel="0" collapsed="false">
      <c r="A2" s="15" t="s">
        <v>170</v>
      </c>
      <c r="B2" s="15"/>
      <c r="C2" s="15"/>
      <c r="D2" s="15"/>
      <c r="E2" s="15"/>
      <c r="F2" s="15"/>
    </row>
    <row r="3" customFormat="false" ht="79.5" hidden="false" customHeight="true" outlineLevel="0" collapsed="false">
      <c r="A3" s="6" t="n">
        <v>1</v>
      </c>
      <c r="B3" s="6" t="s">
        <v>53</v>
      </c>
      <c r="C3" s="6" t="s">
        <v>54</v>
      </c>
      <c r="D3" s="6" t="n">
        <v>0.958</v>
      </c>
      <c r="E3" s="16" t="s">
        <v>171</v>
      </c>
      <c r="F3" s="9" t="s">
        <v>172</v>
      </c>
    </row>
    <row r="4" customFormat="false" ht="79.5" hidden="false" customHeight="true" outlineLevel="0" collapsed="false">
      <c r="A4" s="6" t="n">
        <v>2</v>
      </c>
      <c r="B4" s="6" t="s">
        <v>58</v>
      </c>
      <c r="C4" s="6" t="s">
        <v>59</v>
      </c>
      <c r="D4" s="6" t="n">
        <v>0.973</v>
      </c>
      <c r="E4" s="16" t="s">
        <v>171</v>
      </c>
      <c r="F4" s="9" t="s">
        <v>173</v>
      </c>
    </row>
    <row r="5" customFormat="false" ht="79.5" hidden="false" customHeight="true" outlineLevel="0" collapsed="false">
      <c r="A5" s="6" t="n">
        <v>3</v>
      </c>
      <c r="B5" s="6" t="s">
        <v>63</v>
      </c>
      <c r="C5" s="6" t="s">
        <v>64</v>
      </c>
      <c r="D5" s="6" t="n">
        <v>0.96</v>
      </c>
      <c r="E5" s="16" t="s">
        <v>171</v>
      </c>
      <c r="F5" s="9" t="s">
        <v>174</v>
      </c>
    </row>
    <row r="6" customFormat="false" ht="79.5" hidden="false" customHeight="true" outlineLevel="0" collapsed="false">
      <c r="A6" s="6" t="n">
        <v>4</v>
      </c>
      <c r="B6" s="6" t="s">
        <v>67</v>
      </c>
      <c r="C6" s="6" t="s">
        <v>68</v>
      </c>
      <c r="D6" s="6" t="n">
        <v>0.964</v>
      </c>
      <c r="E6" s="16" t="s">
        <v>171</v>
      </c>
      <c r="F6" s="9" t="s">
        <v>175</v>
      </c>
    </row>
    <row r="7" customFormat="false" ht="79.5" hidden="false" customHeight="true" outlineLevel="0" collapsed="false">
      <c r="A7" s="6" t="n">
        <v>5</v>
      </c>
      <c r="B7" s="6" t="s">
        <v>71</v>
      </c>
      <c r="C7" s="6" t="s">
        <v>72</v>
      </c>
      <c r="D7" s="6" t="n">
        <v>0.968</v>
      </c>
      <c r="E7" s="16" t="s">
        <v>171</v>
      </c>
      <c r="F7" s="9" t="s">
        <v>176</v>
      </c>
    </row>
    <row r="8" customFormat="false" ht="79.5" hidden="false" customHeight="true" outlineLevel="0" collapsed="false">
      <c r="A8" s="6" t="n">
        <v>6</v>
      </c>
      <c r="B8" s="6" t="s">
        <v>77</v>
      </c>
      <c r="C8" s="6" t="s">
        <v>78</v>
      </c>
      <c r="D8" s="6" t="n">
        <v>0.911</v>
      </c>
      <c r="E8" s="16" t="s">
        <v>171</v>
      </c>
      <c r="F8" s="9" t="s">
        <v>177</v>
      </c>
    </row>
    <row r="9" customFormat="false" ht="79.5" hidden="false" customHeight="true" outlineLevel="0" collapsed="false">
      <c r="A9" s="6" t="n">
        <v>7</v>
      </c>
      <c r="B9" s="6" t="s">
        <v>82</v>
      </c>
      <c r="C9" s="6" t="s">
        <v>83</v>
      </c>
      <c r="D9" s="6" t="n">
        <v>0.912</v>
      </c>
      <c r="E9" s="16" t="s">
        <v>171</v>
      </c>
      <c r="F9" s="9" t="s">
        <v>178</v>
      </c>
    </row>
    <row r="10" customFormat="false" ht="79.5" hidden="false" customHeight="true" outlineLevel="0" collapsed="false">
      <c r="A10" s="6" t="n">
        <v>8</v>
      </c>
      <c r="B10" s="6" t="s">
        <v>87</v>
      </c>
      <c r="C10" s="6" t="s">
        <v>88</v>
      </c>
      <c r="D10" s="6" t="n">
        <v>0.926</v>
      </c>
      <c r="E10" s="17" t="s">
        <v>179</v>
      </c>
      <c r="F10" s="9" t="s">
        <v>180</v>
      </c>
    </row>
    <row r="11" customFormat="false" ht="79.5" hidden="false" customHeight="true" outlineLevel="0" collapsed="false">
      <c r="A11" s="6" t="n">
        <v>9</v>
      </c>
      <c r="B11" s="6" t="s">
        <v>92</v>
      </c>
      <c r="C11" s="6" t="s">
        <v>93</v>
      </c>
      <c r="D11" s="6" t="n">
        <v>0.824</v>
      </c>
      <c r="E11" s="18" t="s">
        <v>181</v>
      </c>
      <c r="F11" s="9" t="s">
        <v>182</v>
      </c>
    </row>
    <row r="12" customFormat="false" ht="79.5" hidden="false" customHeight="true" outlineLevel="0" collapsed="false">
      <c r="A12" s="6" t="n">
        <v>10</v>
      </c>
      <c r="B12" s="6" t="s">
        <v>96</v>
      </c>
      <c r="C12" s="6" t="s">
        <v>97</v>
      </c>
      <c r="D12" s="6" t="n">
        <v>0.93</v>
      </c>
      <c r="E12" s="17" t="s">
        <v>179</v>
      </c>
      <c r="F12" s="9" t="s">
        <v>183</v>
      </c>
    </row>
    <row r="13" customFormat="false" ht="79.5" hidden="false" customHeight="true" outlineLevel="0" collapsed="false">
      <c r="A13" s="6" t="n">
        <v>11</v>
      </c>
      <c r="B13" s="6" t="s">
        <v>101</v>
      </c>
      <c r="C13" s="6" t="s">
        <v>102</v>
      </c>
      <c r="D13" s="6" t="n">
        <v>0.634</v>
      </c>
      <c r="E13" s="18" t="s">
        <v>181</v>
      </c>
      <c r="F13" s="9" t="s">
        <v>184</v>
      </c>
    </row>
    <row r="14" customFormat="false" ht="79.5" hidden="false" customHeight="true" outlineLevel="0" collapsed="false">
      <c r="A14" s="6" t="n">
        <v>12</v>
      </c>
      <c r="B14" s="6" t="s">
        <v>105</v>
      </c>
      <c r="C14" s="6" t="s">
        <v>106</v>
      </c>
      <c r="D14" s="6" t="n">
        <v>0.763</v>
      </c>
      <c r="E14" s="18" t="s">
        <v>181</v>
      </c>
      <c r="F14" s="9" t="s">
        <v>185</v>
      </c>
    </row>
    <row r="15" customFormat="false" ht="79.5" hidden="false" customHeight="true" outlineLevel="0" collapsed="false">
      <c r="A15" s="6" t="n">
        <v>13</v>
      </c>
      <c r="B15" s="6" t="s">
        <v>109</v>
      </c>
      <c r="C15" s="6" t="s">
        <v>110</v>
      </c>
      <c r="D15" s="6" t="n">
        <v>0.669</v>
      </c>
      <c r="E15" s="18" t="s">
        <v>181</v>
      </c>
      <c r="F15" s="9" t="s">
        <v>186</v>
      </c>
    </row>
    <row r="16" customFormat="false" ht="79.5" hidden="false" customHeight="true" outlineLevel="0" collapsed="false">
      <c r="A16" s="6" t="n">
        <v>14</v>
      </c>
      <c r="B16" s="6" t="s">
        <v>113</v>
      </c>
      <c r="C16" s="6" t="s">
        <v>114</v>
      </c>
      <c r="D16" s="6" t="n">
        <v>0.783</v>
      </c>
      <c r="E16" s="18" t="s">
        <v>181</v>
      </c>
      <c r="F16" s="9" t="s">
        <v>187</v>
      </c>
    </row>
    <row r="17" customFormat="false" ht="79.5" hidden="false" customHeight="true" outlineLevel="0" collapsed="false">
      <c r="A17" s="6" t="n">
        <v>15</v>
      </c>
      <c r="B17" s="6" t="s">
        <v>117</v>
      </c>
      <c r="C17" s="6" t="s">
        <v>118</v>
      </c>
      <c r="D17" s="6" t="n">
        <v>0.784</v>
      </c>
      <c r="E17" s="18" t="s">
        <v>181</v>
      </c>
      <c r="F17" s="9" t="s">
        <v>188</v>
      </c>
    </row>
    <row r="18" customFormat="false" ht="79.5" hidden="false" customHeight="true" outlineLevel="0" collapsed="false">
      <c r="A18" s="6" t="n">
        <v>16</v>
      </c>
      <c r="B18" s="6" t="s">
        <v>121</v>
      </c>
      <c r="C18" s="6" t="s">
        <v>122</v>
      </c>
      <c r="D18" s="6" t="n">
        <v>0.607</v>
      </c>
      <c r="E18" s="18" t="s">
        <v>181</v>
      </c>
      <c r="F18" s="9" t="s">
        <v>189</v>
      </c>
    </row>
    <row r="19" customFormat="false" ht="79.5" hidden="false" customHeight="true" outlineLevel="0" collapsed="false">
      <c r="A19" s="6" t="n">
        <v>17</v>
      </c>
      <c r="B19" s="6" t="s">
        <v>125</v>
      </c>
      <c r="C19" s="6" t="s">
        <v>126</v>
      </c>
      <c r="D19" s="6" t="n">
        <v>0.727</v>
      </c>
      <c r="E19" s="18" t="s">
        <v>181</v>
      </c>
      <c r="F19" s="9" t="s">
        <v>190</v>
      </c>
    </row>
    <row r="20" customFormat="false" ht="79.5" hidden="false" customHeight="true" outlineLevel="0" collapsed="false">
      <c r="A20" s="6" t="n">
        <v>18</v>
      </c>
      <c r="B20" s="6" t="s">
        <v>129</v>
      </c>
      <c r="C20" s="6" t="s">
        <v>130</v>
      </c>
      <c r="D20" s="6" t="n">
        <v>0.721</v>
      </c>
      <c r="E20" s="18" t="s">
        <v>181</v>
      </c>
      <c r="F20" s="9" t="s">
        <v>191</v>
      </c>
    </row>
    <row r="21" customFormat="false" ht="79.5" hidden="false" customHeight="true" outlineLevel="0" collapsed="false">
      <c r="A21" s="6" t="n">
        <v>19</v>
      </c>
      <c r="B21" s="6" t="s">
        <v>133</v>
      </c>
      <c r="C21" s="6" t="s">
        <v>134</v>
      </c>
      <c r="D21" s="6" t="n">
        <v>0.638</v>
      </c>
      <c r="E21" s="18" t="s">
        <v>181</v>
      </c>
      <c r="F21" s="9" t="s">
        <v>192</v>
      </c>
    </row>
    <row r="22" customFormat="false" ht="79.5" hidden="false" customHeight="true" outlineLevel="0" collapsed="false">
      <c r="A22" s="6" t="n">
        <v>20</v>
      </c>
      <c r="B22" s="6" t="s">
        <v>137</v>
      </c>
      <c r="C22" s="6" t="s">
        <v>138</v>
      </c>
      <c r="D22" s="6" t="n">
        <v>0.627</v>
      </c>
      <c r="E22" s="18" t="s">
        <v>181</v>
      </c>
      <c r="F22" s="9" t="s">
        <v>193</v>
      </c>
    </row>
    <row r="23" customFormat="false" ht="79.5" hidden="false" customHeight="true" outlineLevel="0" collapsed="false">
      <c r="A23" s="6" t="n">
        <v>21</v>
      </c>
      <c r="B23" s="6" t="s">
        <v>142</v>
      </c>
      <c r="C23" s="6" t="s">
        <v>143</v>
      </c>
      <c r="D23" s="6" t="n">
        <v>0.504</v>
      </c>
      <c r="E23" s="16" t="s">
        <v>171</v>
      </c>
      <c r="F23" s="9" t="s">
        <v>194</v>
      </c>
    </row>
    <row r="24" customFormat="false" ht="79.5" hidden="false" customHeight="true" outlineLevel="0" collapsed="false">
      <c r="A24" s="6" t="n">
        <v>22</v>
      </c>
      <c r="B24" s="6" t="s">
        <v>146</v>
      </c>
      <c r="C24" s="6" t="s">
        <v>147</v>
      </c>
      <c r="D24" s="6" t="n">
        <v>0.574</v>
      </c>
      <c r="E24" s="18" t="s">
        <v>181</v>
      </c>
      <c r="F24" s="9" t="s">
        <v>195</v>
      </c>
    </row>
    <row r="25" customFormat="false" ht="79.5" hidden="false" customHeight="true" outlineLevel="0" collapsed="false">
      <c r="A25" s="6" t="n">
        <v>23</v>
      </c>
      <c r="B25" s="6" t="s">
        <v>150</v>
      </c>
      <c r="C25" s="6" t="s">
        <v>151</v>
      </c>
      <c r="D25" s="6" t="n">
        <v>0.544</v>
      </c>
      <c r="E25" s="18" t="s">
        <v>181</v>
      </c>
      <c r="F25" s="9" t="s">
        <v>196</v>
      </c>
    </row>
    <row r="26" customFormat="false" ht="79.5" hidden="false" customHeight="true" outlineLevel="0" collapsed="false">
      <c r="A26" s="6" t="n">
        <v>24</v>
      </c>
      <c r="B26" s="6" t="s">
        <v>155</v>
      </c>
      <c r="C26" s="6" t="s">
        <v>156</v>
      </c>
      <c r="D26" s="6" t="n">
        <v>0.536</v>
      </c>
      <c r="E26" s="18" t="s">
        <v>181</v>
      </c>
      <c r="F26" s="9" t="s">
        <v>197</v>
      </c>
    </row>
    <row r="27" customFormat="false" ht="79.5" hidden="false" customHeight="true" outlineLevel="0" collapsed="false">
      <c r="A27" s="6" t="n">
        <v>25</v>
      </c>
      <c r="B27" s="6" t="s">
        <v>159</v>
      </c>
      <c r="C27" s="6" t="s">
        <v>160</v>
      </c>
      <c r="D27" s="6" t="n">
        <v>0.561</v>
      </c>
      <c r="E27" s="18" t="s">
        <v>181</v>
      </c>
      <c r="F27" s="9" t="s">
        <v>198</v>
      </c>
    </row>
    <row r="28" customFormat="false" ht="79.5" hidden="false" customHeight="true" outlineLevel="0" collapsed="false">
      <c r="A28" s="6" t="n">
        <v>26</v>
      </c>
      <c r="B28" s="6" t="s">
        <v>164</v>
      </c>
      <c r="C28" s="6" t="s">
        <v>165</v>
      </c>
      <c r="D28" s="6" t="n">
        <v>0.395</v>
      </c>
      <c r="E28" s="18" t="s">
        <v>181</v>
      </c>
      <c r="F28" s="9" t="s">
        <v>199</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6" min="2" style="0" width="12"/>
  </cols>
  <sheetData>
    <row r="1" customFormat="false" ht="27.75" hidden="false" customHeight="true" outlineLevel="0" collapsed="false">
      <c r="A1" s="19" t="s">
        <v>200</v>
      </c>
      <c r="B1" s="19"/>
      <c r="C1" s="19"/>
      <c r="D1" s="19"/>
      <c r="E1" s="19"/>
      <c r="F1" s="19"/>
    </row>
    <row r="3" customFormat="false" ht="15" hidden="false" customHeight="false" outlineLevel="0" collapsed="false">
      <c r="A3" s="20" t="s">
        <v>201</v>
      </c>
      <c r="B3" s="21" t="n">
        <v>26</v>
      </c>
    </row>
    <row r="4" customFormat="false" ht="15" hidden="false" customHeight="false" outlineLevel="0" collapsed="false">
      <c r="A4" s="20" t="s">
        <v>202</v>
      </c>
      <c r="B4" s="21" t="n">
        <f aca="false">COUNTA(Etiketleme!L2:L27)</f>
        <v>0</v>
      </c>
    </row>
    <row r="5" customFormat="false" ht="15" hidden="false" customHeight="false" outlineLevel="0" collapsed="false">
      <c r="A5" s="20" t="s">
        <v>203</v>
      </c>
      <c r="B5" s="21" t="n">
        <f aca="false">B3-B4</f>
        <v>26</v>
      </c>
    </row>
    <row r="6" customFormat="false" ht="15" hidden="false" customHeight="false" outlineLevel="0" collapsed="false">
      <c r="A6" s="20" t="s">
        <v>204</v>
      </c>
      <c r="B6" s="22" t="n">
        <f aca="false">B4/B3</f>
        <v>0</v>
      </c>
    </row>
    <row r="9" customFormat="false" ht="15" hidden="false" customHeight="false" outlineLevel="0" collapsed="false">
      <c r="A9" s="23" t="s">
        <v>205</v>
      </c>
      <c r="B9" s="23"/>
      <c r="C9" s="23"/>
      <c r="D9" s="23"/>
      <c r="E9" s="23"/>
      <c r="F9" s="23"/>
    </row>
    <row r="10" customFormat="false" ht="15" hidden="false" customHeight="false" outlineLevel="0" collapsed="false">
      <c r="A10" s="24" t="s">
        <v>206</v>
      </c>
      <c r="B10" s="24" t="s">
        <v>207</v>
      </c>
      <c r="C10" s="24" t="s">
        <v>208</v>
      </c>
    </row>
    <row r="11" customFormat="false" ht="15" hidden="false" customHeight="false" outlineLevel="0" collapsed="false">
      <c r="A11" s="25" t="s">
        <v>179</v>
      </c>
      <c r="B11" s="26" t="n">
        <f aca="false">COUNTIF(Etiketleme!L2:L27,"EXACT")</f>
        <v>0</v>
      </c>
      <c r="C11" s="27" t="n">
        <f aca="false">IF($B$4=0,0,B11/$B$4)</f>
        <v>0</v>
      </c>
    </row>
    <row r="12" customFormat="false" ht="15" hidden="false" customHeight="false" outlineLevel="0" collapsed="false">
      <c r="A12" s="28" t="s">
        <v>171</v>
      </c>
      <c r="B12" s="26" t="n">
        <f aca="false">COUNTIF(Etiketleme!L2:L27,"EDITED")</f>
        <v>0</v>
      </c>
      <c r="C12" s="27" t="n">
        <f aca="false">IF($B$4=0,0,B12/$B$4)</f>
        <v>0</v>
      </c>
    </row>
    <row r="13" customFormat="false" ht="15" hidden="false" customHeight="false" outlineLevel="0" collapsed="false">
      <c r="A13" s="29" t="s">
        <v>209</v>
      </c>
      <c r="B13" s="26" t="n">
        <f aca="false">COUNTIF(Etiketleme!L2:L27,"EXCERPT")</f>
        <v>0</v>
      </c>
      <c r="C13" s="27" t="n">
        <f aca="false">IF($B$4=0,0,B13/$B$4)</f>
        <v>0</v>
      </c>
    </row>
    <row r="14" customFormat="false" ht="15" hidden="false" customHeight="false" outlineLevel="0" collapsed="false">
      <c r="A14" s="30" t="s">
        <v>181</v>
      </c>
      <c r="B14" s="26" t="n">
        <f aca="false">COUNTIF(Etiketleme!L2:L27,"OVERLAP")</f>
        <v>0</v>
      </c>
      <c r="C14" s="27" t="n">
        <f aca="false">IF($B$4=0,0,B14/$B$4)</f>
        <v>0</v>
      </c>
    </row>
    <row r="15" customFormat="false" ht="15" hidden="false" customHeight="false" outlineLevel="0" collapsed="false">
      <c r="A15" s="31" t="s">
        <v>210</v>
      </c>
      <c r="B15" s="26" t="n">
        <f aca="false">COUNTIF(Etiketleme!L2:L27,"NOISE")</f>
        <v>0</v>
      </c>
      <c r="C15" s="27" t="n">
        <f aca="false">IF($B$4=0,0,B15/$B$4)</f>
        <v>0</v>
      </c>
    </row>
    <row r="18" customFormat="false" ht="15" hidden="false" customHeight="false" outlineLevel="0" collapsed="false">
      <c r="A18" s="23" t="s">
        <v>211</v>
      </c>
      <c r="B18" s="23"/>
      <c r="C18" s="23"/>
      <c r="D18" s="23"/>
      <c r="E18" s="23"/>
      <c r="F18" s="23"/>
    </row>
    <row r="19" customFormat="false" ht="15" hidden="false" customHeight="false" outlineLevel="0" collapsed="false">
      <c r="A19" s="24" t="s">
        <v>40</v>
      </c>
      <c r="B19" s="24" t="s">
        <v>179</v>
      </c>
      <c r="C19" s="24" t="s">
        <v>171</v>
      </c>
      <c r="D19" s="24" t="s">
        <v>209</v>
      </c>
      <c r="E19" s="24" t="s">
        <v>181</v>
      </c>
      <c r="F19" s="24" t="s">
        <v>210</v>
      </c>
    </row>
    <row r="20" customFormat="false" ht="15" hidden="false" customHeight="false" outlineLevel="0" collapsed="false">
      <c r="A20" s="32" t="s">
        <v>212</v>
      </c>
      <c r="B20" s="33" t="n">
        <f aca="false">COUNTIFS(Etiketleme!B2:B27,"Çok yüksek (likely birebir)",Etiketleme!L2:L27,"EXACT")</f>
        <v>0</v>
      </c>
      <c r="C20" s="33" t="n">
        <f aca="false">COUNTIFS(Etiketleme!B2:B27,"Çok yüksek (likely birebir)",Etiketleme!L2:L27,"EDITED")</f>
        <v>0</v>
      </c>
      <c r="D20" s="33" t="n">
        <f aca="false">COUNTIFS(Etiketleme!B2:B27,"Çok yüksek (likely birebir)",Etiketleme!L2:L27,"EXCERPT")</f>
        <v>0</v>
      </c>
      <c r="E20" s="33" t="n">
        <f aca="false">COUNTIFS(Etiketleme!B2:B27,"Çok yüksek (likely birebir)",Etiketleme!L2:L27,"OVERLAP")</f>
        <v>0</v>
      </c>
      <c r="F20" s="33" t="n">
        <f aca="false">COUNTIFS(Etiketleme!B2:B27,"Çok yüksek (likely birebir)",Etiketleme!L2:L27,"NOISE")</f>
        <v>0</v>
      </c>
    </row>
    <row r="21" customFormat="false" ht="15" hidden="false" customHeight="false" outlineLevel="0" collapsed="false">
      <c r="A21" s="34" t="s">
        <v>213</v>
      </c>
      <c r="B21" s="33" t="n">
        <f aca="false">COUNTIFS(Etiketleme!B2:B27,"Yüksek (büyük ihtimal düzenlenmiş tekrar)",Etiketleme!L2:L27,"EXACT")</f>
        <v>0</v>
      </c>
      <c r="C21" s="33" t="n">
        <f aca="false">COUNTIFS(Etiketleme!B2:B27,"Yüksek (büyük ihtimal düzenlenmiş tekrar)",Etiketleme!L2:L27,"EDITED")</f>
        <v>0</v>
      </c>
      <c r="D21" s="33" t="n">
        <f aca="false">COUNTIFS(Etiketleme!B2:B27,"Yüksek (büyük ihtimal düzenlenmiş tekrar)",Etiketleme!L2:L27,"EXCERPT")</f>
        <v>0</v>
      </c>
      <c r="E21" s="33" t="n">
        <f aca="false">COUNTIFS(Etiketleme!B2:B27,"Yüksek (büyük ihtimal düzenlenmiş tekrar)",Etiketleme!L2:L27,"OVERLAP")</f>
        <v>0</v>
      </c>
      <c r="F21" s="33" t="n">
        <f aca="false">COUNTIFS(Etiketleme!B2:B27,"Yüksek (büyük ihtimal düzenlenmiş tekrar)",Etiketleme!L2:L27,"NOISE")</f>
        <v>0</v>
      </c>
    </row>
    <row r="22" customFormat="false" ht="15" hidden="false" customHeight="false" outlineLevel="0" collapsed="false">
      <c r="A22" s="35" t="s">
        <v>214</v>
      </c>
      <c r="B22" s="33" t="n">
        <f aca="false">COUNTIFS(Etiketleme!B2:B27,"Orta-yüksek (paragraf ortak, paraphrase olabilir)",Etiketleme!L2:L27,"EXACT")</f>
        <v>0</v>
      </c>
      <c r="C22" s="33" t="n">
        <f aca="false">COUNTIFS(Etiketleme!B2:B27,"Orta-yüksek (paragraf ortak, paraphrase olabilir)",Etiketleme!L2:L27,"EDITED")</f>
        <v>0</v>
      </c>
      <c r="D22" s="33" t="n">
        <f aca="false">COUNTIFS(Etiketleme!B2:B27,"Orta-yüksek (paragraf ortak, paraphrase olabilir)",Etiketleme!L2:L27,"EXCERPT")</f>
        <v>0</v>
      </c>
      <c r="E22" s="33" t="n">
        <f aca="false">COUNTIFS(Etiketleme!B2:B27,"Orta-yüksek (paragraf ortak, paraphrase olabilir)",Etiketleme!L2:L27,"OVERLAP")</f>
        <v>0</v>
      </c>
      <c r="F22" s="33" t="n">
        <f aca="false">COUNTIFS(Etiketleme!B2:B27,"Orta-yüksek (paragraf ortak, paraphrase olabilir)",Etiketleme!L2:L27,"NOISE")</f>
        <v>0</v>
      </c>
    </row>
    <row r="23" customFormat="false" ht="15" hidden="false" customHeight="false" outlineLevel="0" collapsed="false">
      <c r="A23" s="36" t="s">
        <v>215</v>
      </c>
      <c r="B23" s="33" t="n">
        <f aca="false">COUNTIFS(Etiketleme!B2:B27,"Orta (parça ortak, asıl iddia farklı olabilir)",Etiketleme!L2:L27,"EXACT")</f>
        <v>0</v>
      </c>
      <c r="C23" s="33" t="n">
        <f aca="false">COUNTIFS(Etiketleme!B2:B27,"Orta (parça ortak, asıl iddia farklı olabilir)",Etiketleme!L2:L27,"EDITED")</f>
        <v>0</v>
      </c>
      <c r="D23" s="33" t="n">
        <f aca="false">COUNTIFS(Etiketleme!B2:B27,"Orta (parça ortak, asıl iddia farklı olabilir)",Etiketleme!L2:L27,"EXCERPT")</f>
        <v>0</v>
      </c>
      <c r="E23" s="33" t="n">
        <f aca="false">COUNTIFS(Etiketleme!B2:B27,"Orta (parça ortak, asıl iddia farklı olabilir)",Etiketleme!L2:L27,"OVERLAP")</f>
        <v>0</v>
      </c>
      <c r="F23" s="33" t="n">
        <f aca="false">COUNTIFS(Etiketleme!B2:B27,"Orta (parça ortak, asıl iddia farklı olabilir)",Etiketleme!L2:L27,"NOISE")</f>
        <v>0</v>
      </c>
    </row>
    <row r="24" customFormat="false" ht="15" hidden="false" customHeight="false" outlineLevel="0" collapsed="false">
      <c r="A24" s="37" t="s">
        <v>216</v>
      </c>
      <c r="B24" s="33" t="n">
        <f aca="false">COUNTIFS(Etiketleme!B2:B27,"Düşük (gürültü mü gerçek mi?)",Etiketleme!L2:L27,"EXACT")</f>
        <v>0</v>
      </c>
      <c r="C24" s="33" t="n">
        <f aca="false">COUNTIFS(Etiketleme!B2:B27,"Düşük (gürültü mü gerçek mi?)",Etiketleme!L2:L27,"EDITED")</f>
        <v>0</v>
      </c>
      <c r="D24" s="33" t="n">
        <f aca="false">COUNTIFS(Etiketleme!B2:B27,"Düşük (gürültü mü gerçek mi?)",Etiketleme!L2:L27,"EXCERPT")</f>
        <v>0</v>
      </c>
      <c r="E24" s="33" t="n">
        <f aca="false">COUNTIFS(Etiketleme!B2:B27,"Düşük (gürültü mü gerçek mi?)",Etiketleme!L2:L27,"OVERLAP")</f>
        <v>0</v>
      </c>
      <c r="F24" s="33" t="n">
        <f aca="false">COUNTIFS(Etiketleme!B2:B27,"Düşük (gürültü mü gerçek mi?)",Etiketleme!L2:L27,"NOISE")</f>
        <v>0</v>
      </c>
    </row>
    <row r="27" customFormat="false" ht="15" hidden="false" customHeight="false" outlineLevel="0" collapsed="false">
      <c r="A27" s="38" t="s">
        <v>217</v>
      </c>
      <c r="B27" s="38"/>
      <c r="C27" s="38"/>
      <c r="D27" s="38"/>
      <c r="E27" s="38"/>
      <c r="F27" s="38"/>
    </row>
    <row r="28" customFormat="false" ht="39.75" hidden="false" customHeight="true" outlineLevel="0" collapsed="false">
      <c r="A28" s="39" t="s">
        <v>218</v>
      </c>
      <c r="B28" s="39"/>
      <c r="C28" s="39"/>
      <c r="D28" s="39"/>
      <c r="E28" s="39"/>
      <c r="F28" s="39"/>
    </row>
  </sheetData>
  <mergeCells count="5">
    <mergeCell ref="A1:F1"/>
    <mergeCell ref="A9:F9"/>
    <mergeCell ref="A18:F18"/>
    <mergeCell ref="A27:F27"/>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2026-04-30T18:40:35Z</dcterms:created>
  <dc:creator>openpyxl</dc:creator>
  <dc:description/>
  <dc:language>en-US</dc:language>
  <cp:lastModifiedBy/>
  <dcterms:modified xsi:type="dcterms:W3CDTF">2026-04-30T18:40:36Z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